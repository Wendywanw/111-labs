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ndy/Desktop/111/GMA/"/>
    </mc:Choice>
  </mc:AlternateContent>
  <xr:revisionPtr revIDLastSave="0" documentId="13_ncr:1_{041FDA0B-D516-4B4A-875B-63FD0A02ED6D}" xr6:coauthVersionLast="47" xr6:coauthVersionMax="47" xr10:uidLastSave="{00000000-0000-0000-0000-000000000000}"/>
  <bookViews>
    <workbookView xWindow="0" yWindow="500" windowWidth="35840" windowHeight="21900" activeTab="3" xr2:uid="{4C70592E-A979-F447-B463-B931A4256EFA}"/>
  </bookViews>
  <sheets>
    <sheet name="Sheet1" sheetId="1" r:id="rId1"/>
    <sheet name="Sheet3" sheetId="3" r:id="rId2"/>
    <sheet name="4" sheetId="2" r:id="rId3"/>
    <sheet name="Absorption_Cs_N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3" l="1"/>
  <c r="C22" i="3" s="1"/>
  <c r="B21" i="3"/>
  <c r="C21" i="3" s="1"/>
  <c r="B20" i="3"/>
  <c r="C20" i="3" s="1"/>
  <c r="B19" i="3"/>
  <c r="C19" i="3" s="1"/>
  <c r="B18" i="3"/>
  <c r="C18" i="3" s="1"/>
  <c r="B17" i="3"/>
  <c r="C17" i="3" s="1"/>
  <c r="B16" i="3"/>
  <c r="C16" i="3" s="1"/>
  <c r="B15" i="3"/>
  <c r="C15" i="3" s="1"/>
  <c r="B14" i="3"/>
  <c r="C14" i="3" s="1"/>
  <c r="B13" i="3"/>
  <c r="C13" i="3" s="1"/>
  <c r="B11" i="3"/>
  <c r="C11" i="3" s="1"/>
  <c r="B10" i="3"/>
  <c r="C10" i="3" s="1"/>
  <c r="B9" i="3"/>
  <c r="C9" i="3" s="1"/>
  <c r="C8" i="3"/>
  <c r="B8" i="3"/>
  <c r="B4" i="3"/>
  <c r="C4" i="3" s="1"/>
  <c r="B7" i="3"/>
  <c r="C7" i="3" s="1"/>
  <c r="C6" i="3"/>
  <c r="B6" i="3"/>
  <c r="B5" i="3"/>
  <c r="C5" i="3" s="1"/>
  <c r="B3" i="3"/>
  <c r="C3" i="3" s="1"/>
  <c r="C2" i="3"/>
  <c r="B2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" i="1"/>
  <c r="I4" i="1"/>
  <c r="I5" i="1"/>
  <c r="I13" i="1"/>
  <c r="I14" i="1"/>
  <c r="I15" i="1"/>
  <c r="I3" i="1"/>
  <c r="I2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I30" i="1" s="1"/>
  <c r="I29" i="1" l="1"/>
  <c r="I26" i="1"/>
  <c r="I25" i="1"/>
  <c r="B31" i="1"/>
  <c r="I24" i="1"/>
  <c r="I8" i="1"/>
  <c r="I23" i="1"/>
  <c r="I7" i="1"/>
  <c r="I28" i="1"/>
  <c r="I11" i="1"/>
  <c r="I20" i="1"/>
  <c r="I19" i="1"/>
  <c r="I18" i="1"/>
  <c r="I12" i="1"/>
  <c r="I27" i="1"/>
  <c r="I10" i="1"/>
  <c r="I9" i="1"/>
  <c r="I22" i="1"/>
  <c r="I6" i="1"/>
  <c r="I21" i="1"/>
  <c r="I17" i="1"/>
  <c r="I16" i="1"/>
  <c r="B32" i="1" l="1"/>
  <c r="I31" i="1"/>
  <c r="B33" i="1" l="1"/>
  <c r="I32" i="1"/>
  <c r="B34" i="1" l="1"/>
  <c r="I33" i="1"/>
  <c r="B35" i="1" l="1"/>
  <c r="I34" i="1"/>
  <c r="B36" i="1" l="1"/>
  <c r="I35" i="1"/>
  <c r="B37" i="1" l="1"/>
  <c r="I37" i="1" s="1"/>
  <c r="I36" i="1"/>
</calcChain>
</file>

<file path=xl/sharedStrings.xml><?xml version="1.0" encoding="utf-8"?>
<sst xmlns="http://schemas.openxmlformats.org/spreadsheetml/2006/main" count="115" uniqueCount="92">
  <si>
    <t>Time</t>
  </si>
  <si>
    <t>Error</t>
  </si>
  <si>
    <t>Peak_error</t>
  </si>
  <si>
    <t>Peak_location</t>
  </si>
  <si>
    <t>Voltage_(V)</t>
  </si>
  <si>
    <t>Count error ~10</t>
  </si>
  <si>
    <t>Scale used: 0~0.2V, Bin number 2048</t>
  </si>
  <si>
    <t>Notes</t>
  </si>
  <si>
    <t>Scale used: 0~2V, Bin number 20480</t>
  </si>
  <si>
    <t>Assymetric spectrum peak: skew right</t>
  </si>
  <si>
    <t>asymmetric spectrum peak: skew left</t>
  </si>
  <si>
    <t xml:space="preserve">start to see emergence of a 2nd peak </t>
  </si>
  <si>
    <t xml:space="preserve">2nd lower peak on the left </t>
  </si>
  <si>
    <t>G_corse=16, G_fine = 2.5</t>
  </si>
  <si>
    <t>Gain_coarse</t>
  </si>
  <si>
    <t>Gain_fine</t>
  </si>
  <si>
    <t>Range</t>
  </si>
  <si>
    <t>Volt_in</t>
  </si>
  <si>
    <t>Bin_num</t>
  </si>
  <si>
    <t>File_name</t>
  </si>
  <si>
    <t>skew left</t>
  </si>
  <si>
    <t>Peak2_location</t>
  </si>
  <si>
    <t>????</t>
  </si>
  <si>
    <t>Attenuator</t>
  </si>
  <si>
    <t>4???</t>
  </si>
  <si>
    <t>???</t>
  </si>
  <si>
    <t>input</t>
  </si>
  <si>
    <t>ratio</t>
  </si>
  <si>
    <t xml:space="preserve">output </t>
  </si>
  <si>
    <t>input_voltage</t>
  </si>
  <si>
    <t xml:space="preserve">error </t>
  </si>
  <si>
    <t>16, 4.5 gain</t>
  </si>
  <si>
    <t>16, 4 gain</t>
  </si>
  <si>
    <t>double-peak</t>
  </si>
  <si>
    <t>Block_material</t>
  </si>
  <si>
    <t>Al</t>
  </si>
  <si>
    <t>Cu</t>
  </si>
  <si>
    <t>Block_thickness(mm)</t>
  </si>
  <si>
    <t>Err(mm)</t>
  </si>
  <si>
    <t>Pb</t>
  </si>
  <si>
    <t>Distance too long!</t>
  </si>
  <si>
    <t>location:103.5</t>
  </si>
  <si>
    <t>very curley. Thickness hard to measure</t>
  </si>
  <si>
    <t>many small pieces together</t>
  </si>
  <si>
    <t>Thickness_claim</t>
  </si>
  <si>
    <t>180sec</t>
  </si>
  <si>
    <t>Peak_height Cs(Run2)</t>
  </si>
  <si>
    <t>Folder_name Cs</t>
  </si>
  <si>
    <t>Peak_height Na(Run2)</t>
  </si>
  <si>
    <t>Folder_name Na</t>
  </si>
  <si>
    <t>0.75 pm 0.02</t>
  </si>
  <si>
    <t>0.75 pm 0.01</t>
  </si>
  <si>
    <t>Original</t>
  </si>
  <si>
    <t>15L07:34</t>
  </si>
  <si>
    <t>4-06-52 PM</t>
  </si>
  <si>
    <t>4-14-47 PM</t>
  </si>
  <si>
    <t>4-24-46 PM</t>
  </si>
  <si>
    <t>12-44-20 PM</t>
  </si>
  <si>
    <t>4-38-10 PM</t>
  </si>
  <si>
    <t>1-01-36 PM</t>
  </si>
  <si>
    <t>4-46-18 PM</t>
  </si>
  <si>
    <t>12-51-33 PM</t>
  </si>
  <si>
    <t>4-53-09 PM</t>
  </si>
  <si>
    <t>12-55-15 PM</t>
  </si>
  <si>
    <t>4-31-39 PM</t>
  </si>
  <si>
    <t>5-00-39 PM</t>
  </si>
  <si>
    <t>12-40-26 PM(wrong) 12-47-44</t>
  </si>
  <si>
    <t>5-04-09 PM</t>
  </si>
  <si>
    <t>1-07-03 PM</t>
  </si>
  <si>
    <t>3-02-11 PM</t>
  </si>
  <si>
    <t>1-13-06 PM</t>
  </si>
  <si>
    <t>2-57-51 PM</t>
  </si>
  <si>
    <t>1-17-06 PM</t>
  </si>
  <si>
    <t>2-53-43 PM</t>
  </si>
  <si>
    <t>1-22-36 PM</t>
  </si>
  <si>
    <t>2-49-02 PM</t>
  </si>
  <si>
    <t>1-26-11 PM</t>
  </si>
  <si>
    <t>2-39-27 PM</t>
  </si>
  <si>
    <t>1-29-42 PM</t>
  </si>
  <si>
    <t>2-18-34 PM</t>
  </si>
  <si>
    <t>1-33-41 PM</t>
  </si>
  <si>
    <t>2-14-57 PM</t>
  </si>
  <si>
    <t>1-37-19 PM</t>
  </si>
  <si>
    <t>2-10-25 PM</t>
  </si>
  <si>
    <t>1-41-02 PM</t>
  </si>
  <si>
    <t>2-06-49 PM</t>
  </si>
  <si>
    <t>1-45-01 PM</t>
  </si>
  <si>
    <t>2-02-29 PM</t>
  </si>
  <si>
    <t>1-48-47 PM</t>
  </si>
  <si>
    <t>1-58-46 PM</t>
  </si>
  <si>
    <t>1-52-47 PM</t>
  </si>
  <si>
    <t>12-32-17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</si>
</sst>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21" fontId="0" fillId="0" borderId="0" xfId="0" applyNumberFormat="1"/>
    <xf numFmtId="0" fontId="0" fillId="0" borderId="0" xfId="0" applyAlignment="1">
      <alignment wrapText="1"/>
    </xf>
    <xf numFmtId="21" fontId="0" fillId="0" borderId="0" xfId="0" applyNumberFormat="1" applyAlignment="1">
      <alignment wrapText="1"/>
    </xf>
    <xf numFmtId="0" fontId="0" fillId="0" borderId="0" xfId="0" applyAlignment="1"/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0" xfId="0" applyFill="1" applyBorder="1"/>
    <xf numFmtId="0" fontId="2" fillId="0" borderId="0" xfId="0" applyFont="1" applyFill="1" applyBorder="1"/>
    <xf numFmtId="0" fontId="2" fillId="4" borderId="1" xfId="0" applyFont="1" applyFill="1" applyBorder="1"/>
    <xf numFmtId="0" fontId="2" fillId="4" borderId="2" xfId="0" applyFont="1" applyFill="1" applyBorder="1"/>
    <xf numFmtId="21" fontId="2" fillId="0" borderId="0" xfId="0" applyNumberFormat="1" applyFont="1" applyFill="1" applyBorder="1"/>
    <xf numFmtId="0" fontId="0" fillId="2" borderId="3" xfId="0" applyFill="1" applyBorder="1"/>
    <xf numFmtId="0" fontId="0" fillId="3" borderId="3" xfId="0" applyFill="1" applyBorder="1"/>
    <xf numFmtId="0" fontId="0" fillId="3" borderId="4" xfId="0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/>
    <xf numFmtId="0" fontId="0" fillId="0" borderId="8" xfId="0" applyFill="1" applyBorder="1"/>
    <xf numFmtId="21" fontId="0" fillId="0" borderId="8" xfId="0" applyNumberFormat="1" applyBorder="1"/>
    <xf numFmtId="21" fontId="0" fillId="2" borderId="9" xfId="0" applyNumberFormat="1" applyFill="1" applyBorder="1"/>
    <xf numFmtId="21" fontId="0" fillId="3" borderId="9" xfId="0" applyNumberFormat="1" applyFill="1" applyBorder="1"/>
    <xf numFmtId="21" fontId="0" fillId="3" borderId="10" xfId="0" applyNumberFormat="1" applyFill="1" applyBorder="1"/>
    <xf numFmtId="21" fontId="2" fillId="4" borderId="9" xfId="0" applyNumberFormat="1" applyFont="1" applyFill="1" applyBorder="1"/>
    <xf numFmtId="21" fontId="2" fillId="4" borderId="10" xfId="0" applyNumberFormat="1" applyFont="1" applyFill="1" applyBorder="1"/>
    <xf numFmtId="0" fontId="0" fillId="2" borderId="5" xfId="0" applyFill="1" applyBorder="1"/>
    <xf numFmtId="0" fontId="0" fillId="3" borderId="5" xfId="0" applyFill="1" applyBorder="1"/>
    <xf numFmtId="0" fontId="0" fillId="3" borderId="6" xfId="0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0" fillId="0" borderId="8" xfId="0" applyBorder="1" applyAlignment="1">
      <alignment horizontal="center" vertical="center" wrapText="1"/>
    </xf>
    <xf numFmtId="21" fontId="2" fillId="4" borderId="13" xfId="0" applyNumberFormat="1" applyFont="1" applyFill="1" applyBorder="1"/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v_peak</a:t>
            </a:r>
            <a:r>
              <a:rPr lang="zh-CN" altLang="en-US" baseline="0"/>
              <a:t> </a:t>
            </a:r>
            <a:r>
              <a:rPr lang="en-US" altLang="zh-CN" baseline="0"/>
              <a:t>vs.</a:t>
            </a:r>
            <a:r>
              <a:rPr lang="zh-CN" altLang="en-US" baseline="0"/>
              <a:t> </a:t>
            </a:r>
            <a:r>
              <a:rPr lang="en-US" altLang="zh-CN" baseline="0"/>
              <a:t>v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Sheet1!$B$2:$B$42</c:f>
              <c:numCache>
                <c:formatCode>General</c:formatCode>
                <c:ptCount val="41"/>
                <c:pt idx="0">
                  <c:v>400</c:v>
                </c:pt>
                <c:pt idx="1">
                  <c:v>410</c:v>
                </c:pt>
                <c:pt idx="2">
                  <c:v>420</c:v>
                </c:pt>
                <c:pt idx="3">
                  <c:v>430</c:v>
                </c:pt>
                <c:pt idx="4">
                  <c:v>440</c:v>
                </c:pt>
                <c:pt idx="5">
                  <c:v>450</c:v>
                </c:pt>
                <c:pt idx="6">
                  <c:v>460</c:v>
                </c:pt>
                <c:pt idx="7">
                  <c:v>470</c:v>
                </c:pt>
                <c:pt idx="8">
                  <c:v>480</c:v>
                </c:pt>
                <c:pt idx="9">
                  <c:v>490</c:v>
                </c:pt>
                <c:pt idx="10">
                  <c:v>500</c:v>
                </c:pt>
                <c:pt idx="11">
                  <c:v>510</c:v>
                </c:pt>
                <c:pt idx="12">
                  <c:v>520</c:v>
                </c:pt>
                <c:pt idx="13">
                  <c:v>530</c:v>
                </c:pt>
                <c:pt idx="14">
                  <c:v>540</c:v>
                </c:pt>
                <c:pt idx="15">
                  <c:v>550</c:v>
                </c:pt>
                <c:pt idx="16">
                  <c:v>560</c:v>
                </c:pt>
                <c:pt idx="17">
                  <c:v>570</c:v>
                </c:pt>
                <c:pt idx="18">
                  <c:v>580</c:v>
                </c:pt>
                <c:pt idx="19">
                  <c:v>590</c:v>
                </c:pt>
                <c:pt idx="20">
                  <c:v>600</c:v>
                </c:pt>
                <c:pt idx="21">
                  <c:v>610</c:v>
                </c:pt>
                <c:pt idx="22">
                  <c:v>620</c:v>
                </c:pt>
                <c:pt idx="23">
                  <c:v>630</c:v>
                </c:pt>
                <c:pt idx="24">
                  <c:v>640</c:v>
                </c:pt>
                <c:pt idx="25">
                  <c:v>650</c:v>
                </c:pt>
                <c:pt idx="26">
                  <c:v>660</c:v>
                </c:pt>
                <c:pt idx="27">
                  <c:v>670</c:v>
                </c:pt>
                <c:pt idx="28">
                  <c:v>680</c:v>
                </c:pt>
                <c:pt idx="29">
                  <c:v>690</c:v>
                </c:pt>
                <c:pt idx="30">
                  <c:v>700</c:v>
                </c:pt>
                <c:pt idx="31">
                  <c:v>710</c:v>
                </c:pt>
                <c:pt idx="32">
                  <c:v>720</c:v>
                </c:pt>
                <c:pt idx="33">
                  <c:v>730</c:v>
                </c:pt>
                <c:pt idx="34">
                  <c:v>740</c:v>
                </c:pt>
                <c:pt idx="35">
                  <c:v>750</c:v>
                </c:pt>
              </c:numCache>
            </c:numRef>
          </c:xVal>
          <c:yVal>
            <c:numRef>
              <c:f>Sheet1!$C$2:$C$42</c:f>
              <c:numCache>
                <c:formatCode>General</c:formatCode>
                <c:ptCount val="41"/>
                <c:pt idx="0">
                  <c:v>4.0120000000000003E-2</c:v>
                </c:pt>
                <c:pt idx="1">
                  <c:v>4.9000000000000002E-2</c:v>
                </c:pt>
                <c:pt idx="2">
                  <c:v>5.9459999999999999E-2</c:v>
                </c:pt>
                <c:pt idx="3">
                  <c:v>7.1910000000000002E-2</c:v>
                </c:pt>
                <c:pt idx="4">
                  <c:v>8.6690000000000003E-2</c:v>
                </c:pt>
                <c:pt idx="5">
                  <c:v>0.10437</c:v>
                </c:pt>
                <c:pt idx="6">
                  <c:v>0.12461999999999999</c:v>
                </c:pt>
                <c:pt idx="7">
                  <c:v>0.14828</c:v>
                </c:pt>
                <c:pt idx="8">
                  <c:v>0.17666999999999999</c:v>
                </c:pt>
                <c:pt idx="9">
                  <c:v>0.20746999999999999</c:v>
                </c:pt>
                <c:pt idx="10">
                  <c:v>0.24440999999999999</c:v>
                </c:pt>
                <c:pt idx="11">
                  <c:v>0.28702</c:v>
                </c:pt>
                <c:pt idx="12">
                  <c:v>0.33560000000000001</c:v>
                </c:pt>
                <c:pt idx="13">
                  <c:v>0.39129000000000003</c:v>
                </c:pt>
                <c:pt idx="14">
                  <c:v>0.45640999999999998</c:v>
                </c:pt>
                <c:pt idx="15">
                  <c:v>0.53008999999999995</c:v>
                </c:pt>
                <c:pt idx="16">
                  <c:v>0.61551</c:v>
                </c:pt>
                <c:pt idx="17">
                  <c:v>0.71621999999999997</c:v>
                </c:pt>
                <c:pt idx="18">
                  <c:v>0.82935000000000003</c:v>
                </c:pt>
                <c:pt idx="19">
                  <c:v>0.96113000000000004</c:v>
                </c:pt>
                <c:pt idx="20">
                  <c:v>1.10484</c:v>
                </c:pt>
                <c:pt idx="21">
                  <c:v>1.2708699999999999</c:v>
                </c:pt>
                <c:pt idx="22">
                  <c:v>1.38591</c:v>
                </c:pt>
                <c:pt idx="23">
                  <c:v>1.4798</c:v>
                </c:pt>
                <c:pt idx="24">
                  <c:v>1.55463</c:v>
                </c:pt>
                <c:pt idx="25">
                  <c:v>1.61985</c:v>
                </c:pt>
                <c:pt idx="26">
                  <c:v>1.67401</c:v>
                </c:pt>
                <c:pt idx="27">
                  <c:v>1.72133</c:v>
                </c:pt>
                <c:pt idx="28">
                  <c:v>1.75952</c:v>
                </c:pt>
                <c:pt idx="29">
                  <c:v>1.7950200000000001</c:v>
                </c:pt>
                <c:pt idx="30">
                  <c:v>1.8095399999999999</c:v>
                </c:pt>
                <c:pt idx="31">
                  <c:v>1.8097300000000001</c:v>
                </c:pt>
                <c:pt idx="32">
                  <c:v>1.81358</c:v>
                </c:pt>
                <c:pt idx="33">
                  <c:v>1.8314699999999999</c:v>
                </c:pt>
                <c:pt idx="34">
                  <c:v>1.8399399999999999</c:v>
                </c:pt>
                <c:pt idx="35">
                  <c:v>1.85148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52-F14B-92FA-62F307DB3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436048"/>
        <c:axId val="752456192"/>
      </c:scatterChart>
      <c:valAx>
        <c:axId val="75243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56192"/>
        <c:crosses val="autoZero"/>
        <c:crossBetween val="midCat"/>
      </c:valAx>
      <c:valAx>
        <c:axId val="75245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36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log</a:t>
            </a:r>
            <a:r>
              <a:rPr lang="zh-CN" altLang="en-US"/>
              <a:t> </a:t>
            </a:r>
            <a:r>
              <a:rPr lang="en-US" altLang="zh-CN"/>
              <a:t>v_peak</a:t>
            </a:r>
            <a:r>
              <a:rPr lang="zh-CN" altLang="en-US" baseline="0"/>
              <a:t> </a:t>
            </a:r>
            <a:r>
              <a:rPr lang="en-US" altLang="zh-CN" baseline="0"/>
              <a:t>vs.</a:t>
            </a:r>
            <a:r>
              <a:rPr lang="zh-CN" altLang="en-US" baseline="0"/>
              <a:t> </a:t>
            </a:r>
            <a:r>
              <a:rPr lang="en-US" altLang="zh-CN" baseline="0"/>
              <a:t>log</a:t>
            </a:r>
            <a:r>
              <a:rPr lang="zh-CN" altLang="en-US" baseline="0"/>
              <a:t> </a:t>
            </a:r>
            <a:r>
              <a:rPr lang="en-US" altLang="zh-CN" baseline="0"/>
              <a:t>V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Sheet1!$I$2:$I$41</c:f>
              <c:numCache>
                <c:formatCode>General</c:formatCode>
                <c:ptCount val="40"/>
                <c:pt idx="0">
                  <c:v>2.6020599913279625</c:v>
                </c:pt>
                <c:pt idx="1">
                  <c:v>2.6127838567197355</c:v>
                </c:pt>
                <c:pt idx="2">
                  <c:v>2.6232492903979003</c:v>
                </c:pt>
                <c:pt idx="3">
                  <c:v>2.6334684555795866</c:v>
                </c:pt>
                <c:pt idx="4">
                  <c:v>2.6434526764861874</c:v>
                </c:pt>
                <c:pt idx="5">
                  <c:v>2.6532125137753435</c:v>
                </c:pt>
                <c:pt idx="6">
                  <c:v>2.6627578316815739</c:v>
                </c:pt>
                <c:pt idx="7">
                  <c:v>2.6720978579357175</c:v>
                </c:pt>
                <c:pt idx="8">
                  <c:v>2.6812412373755872</c:v>
                </c:pt>
                <c:pt idx="9">
                  <c:v>2.6901960800285138</c:v>
                </c:pt>
                <c:pt idx="10">
                  <c:v>2.6989700043360187</c:v>
                </c:pt>
                <c:pt idx="11">
                  <c:v>2.7075701760979363</c:v>
                </c:pt>
                <c:pt idx="12">
                  <c:v>2.716003343634799</c:v>
                </c:pt>
                <c:pt idx="13">
                  <c:v>2.7242758696007892</c:v>
                </c:pt>
                <c:pt idx="14">
                  <c:v>2.7323937598229686</c:v>
                </c:pt>
                <c:pt idx="15">
                  <c:v>2.7403626894942437</c:v>
                </c:pt>
                <c:pt idx="16">
                  <c:v>2.7481880270062002</c:v>
                </c:pt>
                <c:pt idx="17">
                  <c:v>2.7558748556724915</c:v>
                </c:pt>
                <c:pt idx="18">
                  <c:v>2.7634279935629373</c:v>
                </c:pt>
                <c:pt idx="19">
                  <c:v>2.7708520116421442</c:v>
                </c:pt>
                <c:pt idx="20">
                  <c:v>2.7781512503836434</c:v>
                </c:pt>
                <c:pt idx="21">
                  <c:v>2.7853298350107671</c:v>
                </c:pt>
                <c:pt idx="22">
                  <c:v>2.7923916894982539</c:v>
                </c:pt>
                <c:pt idx="23">
                  <c:v>2.7993405494535817</c:v>
                </c:pt>
                <c:pt idx="24">
                  <c:v>2.8061799739838871</c:v>
                </c:pt>
                <c:pt idx="25">
                  <c:v>2.8129133566428557</c:v>
                </c:pt>
                <c:pt idx="26">
                  <c:v>2.8195439355418688</c:v>
                </c:pt>
                <c:pt idx="27">
                  <c:v>2.8260748027008264</c:v>
                </c:pt>
                <c:pt idx="28">
                  <c:v>2.8325089127062362</c:v>
                </c:pt>
                <c:pt idx="29">
                  <c:v>2.8388490907372552</c:v>
                </c:pt>
                <c:pt idx="30">
                  <c:v>2.8450980400142569</c:v>
                </c:pt>
                <c:pt idx="31">
                  <c:v>2.8512583487190755</c:v>
                </c:pt>
                <c:pt idx="32">
                  <c:v>2.8573324964312685</c:v>
                </c:pt>
                <c:pt idx="33">
                  <c:v>2.8633228601204559</c:v>
                </c:pt>
                <c:pt idx="34">
                  <c:v>2.8692317197309762</c:v>
                </c:pt>
                <c:pt idx="35">
                  <c:v>2.8750612633917001</c:v>
                </c:pt>
              </c:numCache>
            </c:numRef>
          </c:xVal>
          <c:yVal>
            <c:numRef>
              <c:f>Sheet1!$J$2:$J$41</c:f>
              <c:numCache>
                <c:formatCode>General</c:formatCode>
                <c:ptCount val="40"/>
                <c:pt idx="0">
                  <c:v>-1.3966390756516194</c:v>
                </c:pt>
                <c:pt idx="1">
                  <c:v>-1.3098039199714864</c:v>
                </c:pt>
                <c:pt idx="2">
                  <c:v>-1.2257750951310811</c:v>
                </c:pt>
                <c:pt idx="3">
                  <c:v>-1.1432107112466838</c:v>
                </c:pt>
                <c:pt idx="4">
                  <c:v>-1.0620309970485471</c:v>
                </c:pt>
                <c:pt idx="5">
                  <c:v>-0.98142431653274864</c:v>
                </c:pt>
                <c:pt idx="6">
                  <c:v>-0.90441225308125728</c:v>
                </c:pt>
                <c:pt idx="7">
                  <c:v>-0.82891742264247392</c:v>
                </c:pt>
                <c:pt idx="8">
                  <c:v>-0.75283719096066892</c:v>
                </c:pt>
                <c:pt idx="9">
                  <c:v>-0.68304469305497928</c:v>
                </c:pt>
                <c:pt idx="10">
                  <c:v>-0.61188102896969476</c:v>
                </c:pt>
                <c:pt idx="11">
                  <c:v>-0.54208783989664222</c:v>
                </c:pt>
                <c:pt idx="12">
                  <c:v>-0.47417804784333734</c:v>
                </c:pt>
                <c:pt idx="13">
                  <c:v>-0.40750125100122064</c:v>
                </c:pt>
                <c:pt idx="14">
                  <c:v>-0.34064484870333778</c:v>
                </c:pt>
                <c:pt idx="15">
                  <c:v>-0.27565038854056656</c:v>
                </c:pt>
                <c:pt idx="16">
                  <c:v>-0.21076488682764521</c:v>
                </c:pt>
                <c:pt idx="17">
                  <c:v>-0.14495355575030566</c:v>
                </c:pt>
                <c:pt idx="18">
                  <c:v>-8.1262151005582497E-2</c:v>
                </c:pt>
                <c:pt idx="19">
                  <c:v>-1.7217866791107709E-2</c:v>
                </c:pt>
                <c:pt idx="20">
                  <c:v>4.3299389199109875E-2</c:v>
                </c:pt>
                <c:pt idx="21">
                  <c:v>0.10410112791815608</c:v>
                </c:pt>
                <c:pt idx="22">
                  <c:v>0.14173502841975003</c:v>
                </c:pt>
                <c:pt idx="23">
                  <c:v>0.17020302298566428</c:v>
                </c:pt>
                <c:pt idx="24">
                  <c:v>0.19162704411612114</c:v>
                </c:pt>
                <c:pt idx="25">
                  <c:v>0.20947480022880036</c:v>
                </c:pt>
                <c:pt idx="26">
                  <c:v>0.223758048001236</c:v>
                </c:pt>
                <c:pt idx="27">
                  <c:v>0.2358641378698744</c:v>
                </c:pt>
                <c:pt idx="28">
                  <c:v>0.24539420771015494</c:v>
                </c:pt>
                <c:pt idx="29">
                  <c:v>0.25406929182311183</c:v>
                </c:pt>
                <c:pt idx="30">
                  <c:v>0.25756818765823997</c:v>
                </c:pt>
                <c:pt idx="31">
                  <c:v>0.25761378577699734</c:v>
                </c:pt>
                <c:pt idx="32">
                  <c:v>0.25853671778369502</c:v>
                </c:pt>
                <c:pt idx="33">
                  <c:v>0.26279980919157409</c:v>
                </c:pt>
                <c:pt idx="34">
                  <c:v>0.26480366100204911</c:v>
                </c:pt>
                <c:pt idx="35">
                  <c:v>0.26751902508837733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DF-184F-9665-E90A7E52F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106608"/>
        <c:axId val="766798416"/>
      </c:scatterChart>
      <c:valAx>
        <c:axId val="76710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798416"/>
        <c:crosses val="autoZero"/>
        <c:crossBetween val="midCat"/>
      </c:valAx>
      <c:valAx>
        <c:axId val="76679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0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Gain:</a:t>
            </a:r>
            <a:r>
              <a:rPr lang="zh-CN" altLang="en-US" baseline="0"/>
              <a:t> </a:t>
            </a:r>
            <a:r>
              <a:rPr lang="en-US" altLang="zh-CN" baseline="0"/>
              <a:t>16,</a:t>
            </a:r>
            <a:r>
              <a:rPr lang="zh-CN" altLang="en-US" baseline="0"/>
              <a:t> </a:t>
            </a:r>
            <a:r>
              <a:rPr lang="en-US" altLang="zh-CN" baseline="0"/>
              <a:t>4.5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Sheet3!$D$1</c:f>
              <c:strCache>
                <c:ptCount val="1"/>
                <c:pt idx="0">
                  <c:v>output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Sheet3!$C$2:$C$11</c:f>
              <c:numCache>
                <c:formatCode>General</c:formatCode>
                <c:ptCount val="10"/>
                <c:pt idx="0">
                  <c:v>1.7715419501133783E-2</c:v>
                </c:pt>
                <c:pt idx="1">
                  <c:v>1.5830800405268488E-2</c:v>
                </c:pt>
                <c:pt idx="2">
                  <c:v>1.2564127305768641E-2</c:v>
                </c:pt>
                <c:pt idx="3">
                  <c:v>1.1160714285714284E-2</c:v>
                </c:pt>
                <c:pt idx="4">
                  <c:v>8.8577097505668917E-3</c:v>
                </c:pt>
                <c:pt idx="5">
                  <c:v>7.0359112912304405E-3</c:v>
                </c:pt>
                <c:pt idx="6">
                  <c:v>5.5803571428571421E-3</c:v>
                </c:pt>
                <c:pt idx="7">
                  <c:v>4.4288548752834458E-3</c:v>
                </c:pt>
                <c:pt idx="8">
                  <c:v>3.5460992907801418E-3</c:v>
                </c:pt>
                <c:pt idx="9">
                  <c:v>2.5000000000000001E-3</c:v>
                </c:pt>
              </c:numCache>
            </c:numRef>
          </c:xVal>
          <c:yVal>
            <c:numRef>
              <c:f>Sheet3!$D$2:$D$11</c:f>
              <c:numCache>
                <c:formatCode>General</c:formatCode>
                <c:ptCount val="10"/>
                <c:pt idx="0">
                  <c:v>1.9489700000000001</c:v>
                </c:pt>
                <c:pt idx="1">
                  <c:v>1.7603599999999999</c:v>
                </c:pt>
                <c:pt idx="2">
                  <c:v>1.4146000000000001</c:v>
                </c:pt>
                <c:pt idx="3">
                  <c:v>1.2667200000000001</c:v>
                </c:pt>
                <c:pt idx="4">
                  <c:v>1.0015700000000001</c:v>
                </c:pt>
                <c:pt idx="5">
                  <c:v>0.78874999999999995</c:v>
                </c:pt>
                <c:pt idx="6">
                  <c:v>0.63158999999999998</c:v>
                </c:pt>
                <c:pt idx="7">
                  <c:v>0.50151999999999997</c:v>
                </c:pt>
                <c:pt idx="8">
                  <c:v>0.39427000000000001</c:v>
                </c:pt>
                <c:pt idx="9">
                  <c:v>0.28201999999999999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72-1D41-960E-5104172AF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652432"/>
        <c:axId val="754880800"/>
      </c:scatterChart>
      <c:valAx>
        <c:axId val="75465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880800"/>
        <c:crosses val="autoZero"/>
        <c:crossBetween val="midCat"/>
      </c:valAx>
      <c:valAx>
        <c:axId val="75488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65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Gain</a:t>
            </a:r>
            <a:r>
              <a:rPr lang="en-US" altLang="zh-CN" baseline="0"/>
              <a:t>:</a:t>
            </a:r>
            <a:r>
              <a:rPr lang="zh-CN" altLang="en-US" baseline="0"/>
              <a:t> </a:t>
            </a:r>
            <a:r>
              <a:rPr lang="en-US" altLang="zh-CN" baseline="0"/>
              <a:t>16,</a:t>
            </a:r>
            <a:r>
              <a:rPr lang="zh-CN" altLang="en-US" baseline="0"/>
              <a:t> </a:t>
            </a:r>
            <a:r>
              <a:rPr lang="en-US" altLang="zh-CN" baseline="0"/>
              <a:t>4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Sheet3!$C$13:$C$22</c:f>
              <c:numCache>
                <c:formatCode>General</c:formatCode>
                <c:ptCount val="10"/>
                <c:pt idx="0">
                  <c:v>1.7715419501133783E-2</c:v>
                </c:pt>
                <c:pt idx="1">
                  <c:v>1.5830800405268488E-2</c:v>
                </c:pt>
                <c:pt idx="2">
                  <c:v>1.2564127305768641E-2</c:v>
                </c:pt>
                <c:pt idx="3">
                  <c:v>1.1160714285714284E-2</c:v>
                </c:pt>
                <c:pt idx="4">
                  <c:v>8.8577097505668917E-3</c:v>
                </c:pt>
                <c:pt idx="5">
                  <c:v>7.0359112912304405E-3</c:v>
                </c:pt>
                <c:pt idx="6">
                  <c:v>5.5803571428571421E-3</c:v>
                </c:pt>
                <c:pt idx="7">
                  <c:v>4.4288548752834458E-3</c:v>
                </c:pt>
                <c:pt idx="8">
                  <c:v>3.5460992907801418E-3</c:v>
                </c:pt>
                <c:pt idx="9">
                  <c:v>2.5000000000000001E-3</c:v>
                </c:pt>
              </c:numCache>
            </c:numRef>
          </c:xVal>
          <c:yVal>
            <c:numRef>
              <c:f>Sheet3!$D$13:$D$22</c:f>
              <c:numCache>
                <c:formatCode>General</c:formatCode>
                <c:ptCount val="10"/>
                <c:pt idx="0">
                  <c:v>1.85101</c:v>
                </c:pt>
                <c:pt idx="1">
                  <c:v>1.65581</c:v>
                </c:pt>
                <c:pt idx="2">
                  <c:v>1.3266500000000001</c:v>
                </c:pt>
                <c:pt idx="3">
                  <c:v>1.1874899999999999</c:v>
                </c:pt>
                <c:pt idx="4">
                  <c:v>0.94033999999999995</c:v>
                </c:pt>
                <c:pt idx="5">
                  <c:v>0.74143000000000003</c:v>
                </c:pt>
                <c:pt idx="6">
                  <c:v>0.59262000000000004</c:v>
                </c:pt>
                <c:pt idx="7">
                  <c:v>0.47653000000000001</c:v>
                </c:pt>
                <c:pt idx="8">
                  <c:v>0.37034</c:v>
                </c:pt>
                <c:pt idx="9">
                  <c:v>0.26495000000000002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B3-D24E-85BA-B593D4589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189648"/>
        <c:axId val="769600784"/>
      </c:scatterChart>
      <c:valAx>
        <c:axId val="76918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600784"/>
        <c:crosses val="autoZero"/>
        <c:crossBetween val="midCat"/>
      </c:valAx>
      <c:valAx>
        <c:axId val="76960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189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336550</xdr:colOff>
      <xdr:row>2</xdr:row>
      <xdr:rowOff>127000</xdr:rowOff>
    </xdr:from>
    <xdr:to>
      <xdr:col>17</xdr:col>
      <xdr:colOff>781050</xdr:colOff>
      <xdr:row>16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64D835-C6FB-0F45-85FD-A2B274504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209550</xdr:colOff>
      <xdr:row>18</xdr:row>
      <xdr:rowOff>0</xdr:rowOff>
    </xdr:from>
    <xdr:to>
      <xdr:col>17</xdr:col>
      <xdr:colOff>654050</xdr:colOff>
      <xdr:row>31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A0AF9E-0C06-9048-81D3-1FBB1F46A5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800100</xdr:colOff>
      <xdr:row>0</xdr:row>
      <xdr:rowOff>0</xdr:rowOff>
    </xdr:from>
    <xdr:to>
      <xdr:col>13</xdr:col>
      <xdr:colOff>419100</xdr:colOff>
      <xdr:row>13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93A655-B821-C64A-8276-1DF251456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</xdr:colOff>
      <xdr:row>13</xdr:row>
      <xdr:rowOff>190500</xdr:rowOff>
    </xdr:from>
    <xdr:to>
      <xdr:col>13</xdr:col>
      <xdr:colOff>520700</xdr:colOff>
      <xdr:row>27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506C76-4FA5-CD49-A2B7-711B5E8CF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BB50-D38B-D14C-B096-B496FE5411D7}">
  <dimension ref="A1:J42"/>
  <sheetViews>
    <sheetView workbookViewId="0">
      <selection activeCell="A21" sqref="A21:XFD21"/>
    </sheetView>
  </sheetViews>
  <sheetFormatPr baseColWidth="10" defaultRowHeight="16" x14ac:dyDescent="0.2"/>
  <cols>
    <col min="3" max="3" width="13" customWidth="1"/>
    <col min="6" max="6" width="14.1640625" style="4" customWidth="1"/>
  </cols>
  <sheetData>
    <row r="1" spans="1:10" s="5" customFormat="1" ht="51" x14ac:dyDescent="0.2">
      <c r="A1" s="5" t="s">
        <v>0</v>
      </c>
      <c r="B1" s="5" t="s">
        <v>4</v>
      </c>
      <c r="C1" s="5" t="s">
        <v>3</v>
      </c>
      <c r="D1" s="5" t="s">
        <v>2</v>
      </c>
      <c r="F1" s="5" t="s">
        <v>7</v>
      </c>
      <c r="G1" s="5" t="s">
        <v>13</v>
      </c>
    </row>
    <row r="2" spans="1:10" x14ac:dyDescent="0.2">
      <c r="A2" s="3">
        <v>0.58765046296296297</v>
      </c>
      <c r="B2" s="2">
        <v>400</v>
      </c>
      <c r="C2" s="2">
        <v>4.0120000000000003E-2</v>
      </c>
      <c r="D2" s="2">
        <v>5.0000000000000001E-4</v>
      </c>
      <c r="E2" s="37" t="s">
        <v>6</v>
      </c>
      <c r="I2">
        <f>LOG10(B2)</f>
        <v>2.6020599913279625</v>
      </c>
      <c r="J2">
        <f>LOG10(C2)</f>
        <v>-1.3966390756516194</v>
      </c>
    </row>
    <row r="3" spans="1:10" x14ac:dyDescent="0.2">
      <c r="A3" s="3">
        <v>0.58614583333333337</v>
      </c>
      <c r="B3" s="2">
        <v>410</v>
      </c>
      <c r="C3" s="2">
        <v>4.9000000000000002E-2</v>
      </c>
      <c r="D3" s="2">
        <v>5.0000000000000001E-4</v>
      </c>
      <c r="E3" s="37"/>
      <c r="I3">
        <f>LOG10(B3)</f>
        <v>2.6127838567197355</v>
      </c>
      <c r="J3">
        <f t="shared" ref="J3:J37" si="0">LOG10(C3)</f>
        <v>-1.3098039199714864</v>
      </c>
    </row>
    <row r="4" spans="1:10" x14ac:dyDescent="0.2">
      <c r="A4" s="3">
        <v>0.5886689814814815</v>
      </c>
      <c r="B4" s="2">
        <v>420</v>
      </c>
      <c r="C4" s="2">
        <v>5.9459999999999999E-2</v>
      </c>
      <c r="D4" s="2">
        <v>5.0000000000000001E-4</v>
      </c>
      <c r="E4" s="37"/>
      <c r="I4">
        <f t="shared" ref="I4:I37" si="1">LOG10(B4)</f>
        <v>2.6232492903979003</v>
      </c>
      <c r="J4">
        <f t="shared" si="0"/>
        <v>-1.2257750951310811</v>
      </c>
    </row>
    <row r="5" spans="1:10" x14ac:dyDescent="0.2">
      <c r="A5" s="3">
        <v>0.59016203703703707</v>
      </c>
      <c r="B5" s="2">
        <v>430</v>
      </c>
      <c r="C5" s="2">
        <v>7.1910000000000002E-2</v>
      </c>
      <c r="D5" s="2">
        <v>5.0000000000000001E-4</v>
      </c>
      <c r="E5" s="37"/>
      <c r="I5">
        <f t="shared" si="1"/>
        <v>2.6334684555795866</v>
      </c>
      <c r="J5">
        <f t="shared" si="0"/>
        <v>-1.1432107112466838</v>
      </c>
    </row>
    <row r="6" spans="1:10" x14ac:dyDescent="0.2">
      <c r="A6" s="3">
        <v>0.59402777777777771</v>
      </c>
      <c r="B6" s="2">
        <f>B5+10</f>
        <v>440</v>
      </c>
      <c r="C6" s="2">
        <v>8.6690000000000003E-2</v>
      </c>
      <c r="D6" s="2">
        <v>5.0000000000000001E-4</v>
      </c>
      <c r="E6" s="37"/>
      <c r="I6">
        <f t="shared" si="1"/>
        <v>2.6434526764861874</v>
      </c>
      <c r="J6">
        <f t="shared" si="0"/>
        <v>-1.0620309970485471</v>
      </c>
    </row>
    <row r="7" spans="1:10" x14ac:dyDescent="0.2">
      <c r="A7" s="3">
        <v>0.59586805555555555</v>
      </c>
      <c r="B7" s="2">
        <f t="shared" ref="B7:B37" si="2">B6+10</f>
        <v>450</v>
      </c>
      <c r="C7" s="2">
        <v>0.10437</v>
      </c>
      <c r="D7" s="2">
        <v>1E-3</v>
      </c>
      <c r="E7" s="37"/>
      <c r="I7">
        <f t="shared" si="1"/>
        <v>2.6532125137753435</v>
      </c>
      <c r="J7">
        <f t="shared" si="0"/>
        <v>-0.98142431653274864</v>
      </c>
    </row>
    <row r="8" spans="1:10" x14ac:dyDescent="0.2">
      <c r="A8" s="3">
        <v>0.59821759259259266</v>
      </c>
      <c r="B8" s="2">
        <f t="shared" si="2"/>
        <v>460</v>
      </c>
      <c r="C8" s="2">
        <v>0.12461999999999999</v>
      </c>
      <c r="D8" s="2">
        <v>1E-3</v>
      </c>
      <c r="E8" s="37"/>
      <c r="I8">
        <f t="shared" si="1"/>
        <v>2.6627578316815739</v>
      </c>
      <c r="J8">
        <f t="shared" si="0"/>
        <v>-0.90441225308125728</v>
      </c>
    </row>
    <row r="9" spans="1:10" x14ac:dyDescent="0.2">
      <c r="A9" s="3">
        <v>0.6004976851851852</v>
      </c>
      <c r="B9" s="2">
        <f t="shared" si="2"/>
        <v>470</v>
      </c>
      <c r="C9" s="2">
        <v>0.14828</v>
      </c>
      <c r="D9" s="2">
        <v>1E-3</v>
      </c>
      <c r="E9" s="37"/>
      <c r="I9">
        <f t="shared" si="1"/>
        <v>2.6720978579357175</v>
      </c>
      <c r="J9">
        <f t="shared" si="0"/>
        <v>-0.82891742264247392</v>
      </c>
    </row>
    <row r="10" spans="1:10" x14ac:dyDescent="0.2">
      <c r="A10" s="3">
        <v>0.60260416666666672</v>
      </c>
      <c r="B10" s="2">
        <f t="shared" si="2"/>
        <v>480</v>
      </c>
      <c r="C10" s="2">
        <v>0.17666999999999999</v>
      </c>
      <c r="D10" s="2">
        <v>2E-3</v>
      </c>
      <c r="E10" s="37"/>
      <c r="I10">
        <f t="shared" si="1"/>
        <v>2.6812412373755872</v>
      </c>
      <c r="J10">
        <f t="shared" si="0"/>
        <v>-0.75283719096066892</v>
      </c>
    </row>
    <row r="11" spans="1:10" ht="16" customHeight="1" x14ac:dyDescent="0.2">
      <c r="A11" s="3">
        <v>0.60454861111111113</v>
      </c>
      <c r="B11" s="2">
        <f t="shared" si="2"/>
        <v>490</v>
      </c>
      <c r="C11" s="2">
        <v>0.20746999999999999</v>
      </c>
      <c r="D11" s="2">
        <v>2E-3</v>
      </c>
      <c r="E11" s="37" t="s">
        <v>8</v>
      </c>
      <c r="I11">
        <f t="shared" si="1"/>
        <v>2.6901960800285138</v>
      </c>
      <c r="J11">
        <f t="shared" si="0"/>
        <v>-0.68304469305497928</v>
      </c>
    </row>
    <row r="12" spans="1:10" x14ac:dyDescent="0.2">
      <c r="A12" s="3">
        <v>0.60721064814814818</v>
      </c>
      <c r="B12" s="2">
        <f t="shared" si="2"/>
        <v>500</v>
      </c>
      <c r="C12" s="2">
        <v>0.24440999999999999</v>
      </c>
      <c r="D12" s="2">
        <v>2E-3</v>
      </c>
      <c r="E12" s="37"/>
      <c r="I12">
        <f t="shared" si="1"/>
        <v>2.6989700043360187</v>
      </c>
      <c r="J12">
        <f t="shared" si="0"/>
        <v>-0.61188102896969476</v>
      </c>
    </row>
    <row r="13" spans="1:10" x14ac:dyDescent="0.2">
      <c r="A13" s="3">
        <v>0.60920138888888886</v>
      </c>
      <c r="B13" s="2">
        <f t="shared" si="2"/>
        <v>510</v>
      </c>
      <c r="C13" s="2">
        <v>0.28702</v>
      </c>
      <c r="D13" s="2">
        <v>2E-3</v>
      </c>
      <c r="E13" s="37"/>
      <c r="I13">
        <f t="shared" si="1"/>
        <v>2.7075701760979363</v>
      </c>
      <c r="J13">
        <f t="shared" si="0"/>
        <v>-0.54208783989664222</v>
      </c>
    </row>
    <row r="14" spans="1:10" x14ac:dyDescent="0.2">
      <c r="A14" s="3">
        <v>0.61130787037037038</v>
      </c>
      <c r="B14" s="2">
        <f t="shared" si="2"/>
        <v>520</v>
      </c>
      <c r="C14" s="2">
        <v>0.33560000000000001</v>
      </c>
      <c r="D14" s="2">
        <v>2E-3</v>
      </c>
      <c r="E14" s="37"/>
      <c r="I14">
        <f t="shared" si="1"/>
        <v>2.716003343634799</v>
      </c>
      <c r="J14">
        <f t="shared" si="0"/>
        <v>-0.47417804784333734</v>
      </c>
    </row>
    <row r="15" spans="1:10" x14ac:dyDescent="0.2">
      <c r="A15" s="3">
        <v>0.61337962962962966</v>
      </c>
      <c r="B15" s="2">
        <f t="shared" si="2"/>
        <v>530</v>
      </c>
      <c r="C15" s="2">
        <v>0.39129000000000003</v>
      </c>
      <c r="D15" s="2">
        <v>3.0000000000000001E-3</v>
      </c>
      <c r="E15" s="37"/>
      <c r="I15">
        <f t="shared" si="1"/>
        <v>2.7242758696007892</v>
      </c>
      <c r="J15">
        <f t="shared" si="0"/>
        <v>-0.40750125100122064</v>
      </c>
    </row>
    <row r="16" spans="1:10" x14ac:dyDescent="0.2">
      <c r="A16" s="3">
        <v>0.61493055555555554</v>
      </c>
      <c r="B16" s="2">
        <f t="shared" si="2"/>
        <v>540</v>
      </c>
      <c r="C16" s="2">
        <v>0.45640999999999998</v>
      </c>
      <c r="D16" s="2">
        <v>4.0000000000000001E-3</v>
      </c>
      <c r="E16" s="37"/>
      <c r="I16">
        <f t="shared" si="1"/>
        <v>2.7323937598229686</v>
      </c>
      <c r="J16">
        <f t="shared" si="0"/>
        <v>-0.34064484870333778</v>
      </c>
    </row>
    <row r="17" spans="1:10" x14ac:dyDescent="0.2">
      <c r="A17" s="3">
        <v>0.61651620370370364</v>
      </c>
      <c r="B17" s="2">
        <f t="shared" si="2"/>
        <v>550</v>
      </c>
      <c r="C17" s="2">
        <v>0.53008999999999995</v>
      </c>
      <c r="D17" s="2">
        <v>4.0000000000000001E-3</v>
      </c>
      <c r="E17" s="37"/>
      <c r="I17">
        <f t="shared" si="1"/>
        <v>2.7403626894942437</v>
      </c>
      <c r="J17">
        <f t="shared" si="0"/>
        <v>-0.27565038854056656</v>
      </c>
    </row>
    <row r="18" spans="1:10" x14ac:dyDescent="0.2">
      <c r="A18" s="3">
        <v>0.61829861111111117</v>
      </c>
      <c r="B18" s="2">
        <f t="shared" si="2"/>
        <v>560</v>
      </c>
      <c r="C18" s="2">
        <v>0.61551</v>
      </c>
      <c r="D18" s="2">
        <v>4.0000000000000001E-3</v>
      </c>
      <c r="E18" s="37"/>
      <c r="I18">
        <f t="shared" si="1"/>
        <v>2.7481880270062002</v>
      </c>
      <c r="J18">
        <f t="shared" si="0"/>
        <v>-0.21076488682764521</v>
      </c>
    </row>
    <row r="19" spans="1:10" x14ac:dyDescent="0.2">
      <c r="A19" s="3">
        <v>0.62075231481481474</v>
      </c>
      <c r="B19" s="2">
        <f t="shared" si="2"/>
        <v>570</v>
      </c>
      <c r="C19" s="2">
        <v>0.71621999999999997</v>
      </c>
      <c r="D19" s="2">
        <v>5.0000000000000001E-3</v>
      </c>
      <c r="E19" s="37"/>
      <c r="I19">
        <f t="shared" si="1"/>
        <v>2.7558748556724915</v>
      </c>
      <c r="J19">
        <f t="shared" si="0"/>
        <v>-0.14495355575030566</v>
      </c>
    </row>
    <row r="20" spans="1:10" x14ac:dyDescent="0.2">
      <c r="A20" s="3">
        <v>0.62284722222222222</v>
      </c>
      <c r="B20" s="2">
        <f t="shared" si="2"/>
        <v>580</v>
      </c>
      <c r="C20" s="2">
        <v>0.82935000000000003</v>
      </c>
      <c r="D20" s="2">
        <v>5.0000000000000001E-3</v>
      </c>
      <c r="E20" s="37"/>
      <c r="I20">
        <f t="shared" si="1"/>
        <v>2.7634279935629373</v>
      </c>
      <c r="J20">
        <f t="shared" si="0"/>
        <v>-8.1262151005582497E-2</v>
      </c>
    </row>
    <row r="21" spans="1:10" x14ac:dyDescent="0.2">
      <c r="A21" s="3">
        <v>0.62474537037037037</v>
      </c>
      <c r="B21" s="2">
        <f t="shared" si="2"/>
        <v>590</v>
      </c>
      <c r="C21" s="2">
        <v>0.96113000000000004</v>
      </c>
      <c r="D21" s="2">
        <v>5.0000000000000001E-3</v>
      </c>
      <c r="E21" s="37"/>
      <c r="F21" s="4" t="s">
        <v>5</v>
      </c>
      <c r="I21">
        <f t="shared" si="1"/>
        <v>2.7708520116421442</v>
      </c>
      <c r="J21">
        <f t="shared" si="0"/>
        <v>-1.7217866791107709E-2</v>
      </c>
    </row>
    <row r="22" spans="1:10" x14ac:dyDescent="0.2">
      <c r="A22" s="3">
        <v>0.62670138888888893</v>
      </c>
      <c r="B22" s="2">
        <f t="shared" si="2"/>
        <v>600</v>
      </c>
      <c r="C22" s="2">
        <v>1.10484</v>
      </c>
      <c r="D22" s="2">
        <v>5.0000000000000001E-3</v>
      </c>
      <c r="E22" s="37"/>
      <c r="I22">
        <f t="shared" si="1"/>
        <v>2.7781512503836434</v>
      </c>
      <c r="J22">
        <f t="shared" si="0"/>
        <v>4.3299389199109875E-2</v>
      </c>
    </row>
    <row r="23" spans="1:10" x14ac:dyDescent="0.2">
      <c r="A23" s="3">
        <v>0.62864583333333335</v>
      </c>
      <c r="B23" s="2">
        <f t="shared" si="2"/>
        <v>610</v>
      </c>
      <c r="C23" s="2">
        <v>1.2708699999999999</v>
      </c>
      <c r="D23" s="2">
        <v>6.0000000000000001E-3</v>
      </c>
      <c r="E23" s="37"/>
      <c r="F23" s="4" t="s">
        <v>9</v>
      </c>
      <c r="I23">
        <f t="shared" si="1"/>
        <v>2.7853298350107671</v>
      </c>
      <c r="J23">
        <f t="shared" si="0"/>
        <v>0.10410112791815608</v>
      </c>
    </row>
    <row r="24" spans="1:10" x14ac:dyDescent="0.2">
      <c r="A24" s="3">
        <v>0.63025462962962964</v>
      </c>
      <c r="B24" s="2">
        <f t="shared" si="2"/>
        <v>620</v>
      </c>
      <c r="C24" s="2">
        <v>1.38591</v>
      </c>
      <c r="D24" s="2">
        <v>6.0000000000000001E-3</v>
      </c>
      <c r="E24" s="37"/>
      <c r="I24">
        <f t="shared" si="1"/>
        <v>2.7923916894982539</v>
      </c>
      <c r="J24">
        <f t="shared" si="0"/>
        <v>0.14173502841975003</v>
      </c>
    </row>
    <row r="25" spans="1:10" x14ac:dyDescent="0.2">
      <c r="A25" s="3">
        <v>0.63238425925925923</v>
      </c>
      <c r="B25" s="2">
        <f t="shared" si="2"/>
        <v>630</v>
      </c>
      <c r="C25" s="2">
        <v>1.4798</v>
      </c>
      <c r="D25" s="2">
        <v>6.0000000000000001E-3</v>
      </c>
      <c r="E25" s="37"/>
      <c r="I25">
        <f t="shared" si="1"/>
        <v>2.7993405494535817</v>
      </c>
      <c r="J25">
        <f t="shared" si="0"/>
        <v>0.17020302298566428</v>
      </c>
    </row>
    <row r="26" spans="1:10" x14ac:dyDescent="0.2">
      <c r="A26" s="3">
        <v>0.63500000000000001</v>
      </c>
      <c r="B26" s="2">
        <f t="shared" si="2"/>
        <v>640</v>
      </c>
      <c r="C26" s="2">
        <v>1.55463</v>
      </c>
      <c r="D26" s="2">
        <v>6.0000000000000001E-3</v>
      </c>
      <c r="E26" s="37"/>
      <c r="I26">
        <f t="shared" si="1"/>
        <v>2.8061799739838871</v>
      </c>
      <c r="J26">
        <f t="shared" si="0"/>
        <v>0.19162704411612114</v>
      </c>
    </row>
    <row r="27" spans="1:10" x14ac:dyDescent="0.2">
      <c r="A27" s="3">
        <v>0.63638888888888889</v>
      </c>
      <c r="B27" s="2">
        <f t="shared" si="2"/>
        <v>650</v>
      </c>
      <c r="C27" s="2">
        <v>1.61985</v>
      </c>
      <c r="D27" s="2">
        <v>6.0000000000000001E-3</v>
      </c>
      <c r="E27" s="37"/>
      <c r="I27">
        <f t="shared" si="1"/>
        <v>2.8129133566428557</v>
      </c>
      <c r="J27">
        <f t="shared" si="0"/>
        <v>0.20947480022880036</v>
      </c>
    </row>
    <row r="28" spans="1:10" x14ac:dyDescent="0.2">
      <c r="A28" s="3">
        <v>0.63775462962962959</v>
      </c>
      <c r="B28" s="2">
        <f t="shared" si="2"/>
        <v>660</v>
      </c>
      <c r="C28" s="2">
        <v>1.67401</v>
      </c>
      <c r="D28" s="2">
        <v>6.0000000000000001E-3</v>
      </c>
      <c r="E28" s="2"/>
      <c r="I28">
        <f t="shared" si="1"/>
        <v>2.8195439355418688</v>
      </c>
      <c r="J28">
        <f t="shared" si="0"/>
        <v>0.223758048001236</v>
      </c>
    </row>
    <row r="29" spans="1:10" x14ac:dyDescent="0.2">
      <c r="A29" s="3">
        <v>0.63910879629629636</v>
      </c>
      <c r="B29" s="2">
        <f t="shared" si="2"/>
        <v>670</v>
      </c>
      <c r="C29" s="2">
        <v>1.72133</v>
      </c>
      <c r="D29" s="2">
        <v>6.0000000000000001E-3</v>
      </c>
      <c r="E29" s="2"/>
      <c r="I29">
        <f t="shared" si="1"/>
        <v>2.8260748027008264</v>
      </c>
      <c r="J29">
        <f t="shared" si="0"/>
        <v>0.2358641378698744</v>
      </c>
    </row>
    <row r="30" spans="1:10" x14ac:dyDescent="0.2">
      <c r="A30" s="3">
        <v>0.64049768518518524</v>
      </c>
      <c r="B30" s="2">
        <f t="shared" si="2"/>
        <v>680</v>
      </c>
      <c r="C30" s="2">
        <v>1.75952</v>
      </c>
      <c r="D30" s="2">
        <v>6.0000000000000001E-3</v>
      </c>
      <c r="E30" s="2"/>
      <c r="I30">
        <f t="shared" si="1"/>
        <v>2.8325089127062362</v>
      </c>
      <c r="J30">
        <f t="shared" si="0"/>
        <v>0.24539420771015494</v>
      </c>
    </row>
    <row r="31" spans="1:10" x14ac:dyDescent="0.2">
      <c r="A31" s="3">
        <v>0.64177083333333329</v>
      </c>
      <c r="B31" s="2">
        <f t="shared" si="2"/>
        <v>690</v>
      </c>
      <c r="C31" s="2">
        <v>1.7950200000000001</v>
      </c>
      <c r="D31" s="2">
        <v>6.0000000000000001E-3</v>
      </c>
      <c r="E31" s="2"/>
      <c r="I31">
        <f t="shared" si="1"/>
        <v>2.8388490907372552</v>
      </c>
      <c r="J31">
        <f t="shared" si="0"/>
        <v>0.25406929182311183</v>
      </c>
    </row>
    <row r="32" spans="1:10" x14ac:dyDescent="0.2">
      <c r="A32" s="3">
        <v>0.6430555555555556</v>
      </c>
      <c r="B32" s="2">
        <f t="shared" si="2"/>
        <v>700</v>
      </c>
      <c r="C32" s="2">
        <v>1.8095399999999999</v>
      </c>
      <c r="D32" s="2">
        <v>6.0000000000000001E-3</v>
      </c>
      <c r="E32" s="2"/>
      <c r="I32">
        <f t="shared" si="1"/>
        <v>2.8450980400142569</v>
      </c>
      <c r="J32">
        <f t="shared" si="0"/>
        <v>0.25756818765823997</v>
      </c>
    </row>
    <row r="33" spans="1:10" x14ac:dyDescent="0.2">
      <c r="A33" s="3">
        <v>0.6447222222222222</v>
      </c>
      <c r="B33" s="2">
        <f t="shared" si="2"/>
        <v>710</v>
      </c>
      <c r="C33" s="2">
        <v>1.8097300000000001</v>
      </c>
      <c r="D33" s="2">
        <v>0.1</v>
      </c>
      <c r="E33" s="2"/>
      <c r="F33" s="4" t="s">
        <v>10</v>
      </c>
      <c r="I33">
        <f t="shared" si="1"/>
        <v>2.8512583487190755</v>
      </c>
      <c r="J33">
        <f t="shared" si="0"/>
        <v>0.25761378577699734</v>
      </c>
    </row>
    <row r="34" spans="1:10" x14ac:dyDescent="0.2">
      <c r="A34" s="3">
        <v>0.64674768518518522</v>
      </c>
      <c r="B34" s="2">
        <f t="shared" si="2"/>
        <v>720</v>
      </c>
      <c r="C34" s="2">
        <v>1.81358</v>
      </c>
      <c r="D34" s="2">
        <v>0.1</v>
      </c>
      <c r="E34" s="2"/>
      <c r="F34" s="4" t="s">
        <v>11</v>
      </c>
      <c r="I34">
        <f t="shared" si="1"/>
        <v>2.8573324964312685</v>
      </c>
      <c r="J34">
        <f t="shared" si="0"/>
        <v>0.25853671778369502</v>
      </c>
    </row>
    <row r="35" spans="1:10" x14ac:dyDescent="0.2">
      <c r="A35" s="3">
        <v>0.6487384259259259</v>
      </c>
      <c r="B35" s="2">
        <f t="shared" si="2"/>
        <v>730</v>
      </c>
      <c r="C35" s="2">
        <v>1.8314699999999999</v>
      </c>
      <c r="D35" s="2">
        <v>0.1</v>
      </c>
      <c r="E35" s="2"/>
      <c r="I35">
        <f t="shared" si="1"/>
        <v>2.8633228601204559</v>
      </c>
      <c r="J35">
        <f t="shared" si="0"/>
        <v>0.26279980919157409</v>
      </c>
    </row>
    <row r="36" spans="1:10" x14ac:dyDescent="0.2">
      <c r="A36" s="3">
        <v>0.65047453703703706</v>
      </c>
      <c r="B36" s="2">
        <f t="shared" si="2"/>
        <v>740</v>
      </c>
      <c r="C36" s="2">
        <v>1.8399399999999999</v>
      </c>
      <c r="D36" s="2">
        <v>0.1</v>
      </c>
      <c r="E36" s="2"/>
      <c r="F36" s="4" t="s">
        <v>12</v>
      </c>
      <c r="I36">
        <f t="shared" si="1"/>
        <v>2.8692317197309762</v>
      </c>
      <c r="J36">
        <f t="shared" si="0"/>
        <v>0.26480366100204911</v>
      </c>
    </row>
    <row r="37" spans="1:10" x14ac:dyDescent="0.2">
      <c r="A37" s="3">
        <v>0.65175925925925926</v>
      </c>
      <c r="B37" s="2">
        <f t="shared" si="2"/>
        <v>750</v>
      </c>
      <c r="C37" s="2">
        <v>1.85148</v>
      </c>
      <c r="D37" s="2">
        <v>0.1</v>
      </c>
      <c r="E37" s="2"/>
      <c r="I37">
        <f t="shared" si="1"/>
        <v>2.8750612633917001</v>
      </c>
      <c r="J37">
        <f t="shared" si="0"/>
        <v>0.26751902508837733</v>
      </c>
    </row>
    <row r="38" spans="1:10" x14ac:dyDescent="0.2">
      <c r="A38" s="2"/>
      <c r="B38" s="2"/>
      <c r="C38" s="2"/>
      <c r="D38" s="2"/>
      <c r="E38" s="2"/>
    </row>
    <row r="39" spans="1:10" x14ac:dyDescent="0.2">
      <c r="A39" s="2"/>
      <c r="B39" s="2"/>
      <c r="C39" s="2"/>
      <c r="D39" s="2"/>
      <c r="E39" s="2"/>
    </row>
    <row r="40" spans="1:10" x14ac:dyDescent="0.2">
      <c r="A40" s="2"/>
      <c r="B40" s="2"/>
      <c r="C40" s="2"/>
      <c r="D40" s="2"/>
      <c r="E40" s="2"/>
    </row>
    <row r="41" spans="1:10" x14ac:dyDescent="0.2">
      <c r="A41" s="2"/>
      <c r="B41" s="2"/>
      <c r="C41" s="2"/>
      <c r="D41" s="2"/>
      <c r="E41" s="2"/>
    </row>
    <row r="42" spans="1:10" x14ac:dyDescent="0.2">
      <c r="A42" s="2"/>
      <c r="B42" s="2"/>
      <c r="C42" s="2"/>
      <c r="D42" s="2"/>
      <c r="E42" s="2"/>
    </row>
  </sheetData>
  <mergeCells count="2">
    <mergeCell ref="E2:E10"/>
    <mergeCell ref="E11:E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CF815-F0FB-7F45-90CD-369F5C57B14F}">
  <dimension ref="A1:F22"/>
  <sheetViews>
    <sheetView workbookViewId="0">
      <selection activeCell="E22" sqref="E22"/>
    </sheetView>
  </sheetViews>
  <sheetFormatPr baseColWidth="10" defaultRowHeight="16" x14ac:dyDescent="0.2"/>
  <cols>
    <col min="2" max="2" width="12.1640625" bestFit="1" customWidth="1"/>
    <col min="3" max="3" width="15.33203125" customWidth="1"/>
  </cols>
  <sheetData>
    <row r="1" spans="1:6" x14ac:dyDescent="0.2">
      <c r="A1" t="s">
        <v>26</v>
      </c>
      <c r="B1" t="s">
        <v>27</v>
      </c>
      <c r="C1" t="s">
        <v>29</v>
      </c>
      <c r="D1" t="s">
        <v>28</v>
      </c>
      <c r="E1" t="s">
        <v>30</v>
      </c>
      <c r="F1" t="s">
        <v>31</v>
      </c>
    </row>
    <row r="2" spans="1:6" x14ac:dyDescent="0.2">
      <c r="A2">
        <v>0.5</v>
      </c>
      <c r="B2">
        <f>1.12*1.26*2*10</f>
        <v>28.224000000000004</v>
      </c>
      <c r="C2">
        <f>A2/B2</f>
        <v>1.7715419501133783E-2</v>
      </c>
      <c r="D2">
        <v>1.9489700000000001</v>
      </c>
      <c r="E2">
        <v>2.5000000000000001E-3</v>
      </c>
      <c r="F2" t="s">
        <v>33</v>
      </c>
    </row>
    <row r="3" spans="1:6" x14ac:dyDescent="0.2">
      <c r="A3">
        <v>0.5</v>
      </c>
      <c r="B3">
        <f>1.12*1.41*2*10</f>
        <v>31.584000000000003</v>
      </c>
      <c r="C3">
        <f>A3/B3</f>
        <v>1.5830800405268488E-2</v>
      </c>
      <c r="D3">
        <v>1.7603599999999999</v>
      </c>
      <c r="E3">
        <v>2.5000000000000001E-3</v>
      </c>
    </row>
    <row r="4" spans="1:6" x14ac:dyDescent="0.2">
      <c r="A4">
        <v>0.5</v>
      </c>
      <c r="B4">
        <f>1.12*1.26*2*10*1.41</f>
        <v>39.795840000000005</v>
      </c>
      <c r="C4">
        <f>A4/B4</f>
        <v>1.2564127305768641E-2</v>
      </c>
      <c r="D4">
        <v>1.4146000000000001</v>
      </c>
      <c r="E4">
        <v>2.5000000000000001E-3</v>
      </c>
    </row>
    <row r="5" spans="1:6" x14ac:dyDescent="0.2">
      <c r="A5">
        <v>0.5</v>
      </c>
      <c r="B5">
        <f>1.12*4*10</f>
        <v>44.800000000000004</v>
      </c>
      <c r="C5">
        <f>A5/B5</f>
        <v>1.1160714285714284E-2</v>
      </c>
      <c r="D5">
        <v>1.2667200000000001</v>
      </c>
      <c r="E5">
        <v>1E-3</v>
      </c>
    </row>
    <row r="6" spans="1:6" x14ac:dyDescent="0.2">
      <c r="A6">
        <v>0.5</v>
      </c>
      <c r="B6">
        <f>1.12*1.26*4*10</f>
        <v>56.448000000000008</v>
      </c>
      <c r="C6">
        <f>A6/B6</f>
        <v>8.8577097505668917E-3</v>
      </c>
      <c r="D6">
        <v>1.0015700000000001</v>
      </c>
      <c r="E6">
        <v>5.0000000000000001E-4</v>
      </c>
    </row>
    <row r="7" spans="1:6" x14ac:dyDescent="0.2">
      <c r="A7">
        <v>0.5</v>
      </c>
      <c r="B7">
        <f>1.26*1.41*4*10</f>
        <v>71.063999999999993</v>
      </c>
      <c r="C7">
        <f t="shared" ref="C7:C11" si="0">A7/B7</f>
        <v>7.0359112912304405E-3</v>
      </c>
      <c r="D7">
        <v>0.78874999999999995</v>
      </c>
      <c r="E7">
        <v>5.0000000000000001E-4</v>
      </c>
    </row>
    <row r="8" spans="1:6" x14ac:dyDescent="0.2">
      <c r="A8">
        <v>0.5</v>
      </c>
      <c r="B8">
        <f>1.12*2*4*10</f>
        <v>89.600000000000009</v>
      </c>
      <c r="C8">
        <f t="shared" si="0"/>
        <v>5.5803571428571421E-3</v>
      </c>
      <c r="D8">
        <v>0.63158999999999998</v>
      </c>
      <c r="E8">
        <v>5.0000000000000001E-4</v>
      </c>
    </row>
    <row r="9" spans="1:6" x14ac:dyDescent="0.2">
      <c r="A9">
        <v>0.5</v>
      </c>
      <c r="B9">
        <f>1.12*2*4*10*1.26</f>
        <v>112.89600000000002</v>
      </c>
      <c r="C9">
        <f t="shared" si="0"/>
        <v>4.4288548752834458E-3</v>
      </c>
      <c r="D9">
        <v>0.50151999999999997</v>
      </c>
      <c r="E9">
        <v>2.0000000000000001E-4</v>
      </c>
    </row>
    <row r="10" spans="1:6" x14ac:dyDescent="0.2">
      <c r="A10">
        <v>0.5</v>
      </c>
      <c r="B10">
        <f>1.41*10*10</f>
        <v>141</v>
      </c>
      <c r="C10">
        <f t="shared" si="0"/>
        <v>3.5460992907801418E-3</v>
      </c>
      <c r="D10">
        <v>0.39427000000000001</v>
      </c>
      <c r="E10">
        <v>2.0000000000000001E-4</v>
      </c>
    </row>
    <row r="11" spans="1:6" x14ac:dyDescent="0.2">
      <c r="A11">
        <v>0.5</v>
      </c>
      <c r="B11">
        <f>2*10*10</f>
        <v>200</v>
      </c>
      <c r="C11">
        <f t="shared" si="0"/>
        <v>2.5000000000000001E-3</v>
      </c>
      <c r="D11">
        <v>0.28201999999999999</v>
      </c>
      <c r="E11">
        <v>2.0000000000000001E-4</v>
      </c>
    </row>
    <row r="13" spans="1:6" x14ac:dyDescent="0.2">
      <c r="A13">
        <v>0.5</v>
      </c>
      <c r="B13">
        <f>1.12*1.26*2*10</f>
        <v>28.224000000000004</v>
      </c>
      <c r="C13">
        <f>A13/B13</f>
        <v>1.7715419501133783E-2</v>
      </c>
      <c r="D13">
        <v>1.85101</v>
      </c>
      <c r="E13">
        <v>1E-3</v>
      </c>
      <c r="F13" t="s">
        <v>32</v>
      </c>
    </row>
    <row r="14" spans="1:6" x14ac:dyDescent="0.2">
      <c r="A14">
        <v>0.5</v>
      </c>
      <c r="B14">
        <f>1.12*1.41*2*10</f>
        <v>31.584000000000003</v>
      </c>
      <c r="C14">
        <f t="shared" ref="C14:C22" si="1">A14/B14</f>
        <v>1.5830800405268488E-2</v>
      </c>
      <c r="D14">
        <v>1.65581</v>
      </c>
      <c r="E14">
        <v>1E-3</v>
      </c>
    </row>
    <row r="15" spans="1:6" x14ac:dyDescent="0.2">
      <c r="A15">
        <v>0.5</v>
      </c>
      <c r="B15">
        <f>1.12*1.26*2*10*1.41</f>
        <v>39.795840000000005</v>
      </c>
      <c r="C15">
        <f t="shared" si="1"/>
        <v>1.2564127305768641E-2</v>
      </c>
      <c r="D15">
        <v>1.3266500000000001</v>
      </c>
      <c r="E15">
        <v>1E-3</v>
      </c>
    </row>
    <row r="16" spans="1:6" x14ac:dyDescent="0.2">
      <c r="A16">
        <v>0.5</v>
      </c>
      <c r="B16">
        <f>1.12*4*10</f>
        <v>44.800000000000004</v>
      </c>
      <c r="C16">
        <f t="shared" si="1"/>
        <v>1.1160714285714284E-2</v>
      </c>
      <c r="D16">
        <v>1.1874899999999999</v>
      </c>
      <c r="E16">
        <v>2.5000000000000001E-4</v>
      </c>
    </row>
    <row r="17" spans="1:5" x14ac:dyDescent="0.2">
      <c r="A17">
        <v>0.5</v>
      </c>
      <c r="B17">
        <f>1.12*1.26*4*10</f>
        <v>56.448000000000008</v>
      </c>
      <c r="C17">
        <f t="shared" si="1"/>
        <v>8.8577097505668917E-3</v>
      </c>
      <c r="D17">
        <v>0.94033999999999995</v>
      </c>
      <c r="E17">
        <v>2.5000000000000001E-4</v>
      </c>
    </row>
    <row r="18" spans="1:5" x14ac:dyDescent="0.2">
      <c r="A18">
        <v>0.5</v>
      </c>
      <c r="B18">
        <f>1.26*1.41*4*10</f>
        <v>71.063999999999993</v>
      </c>
      <c r="C18">
        <f t="shared" si="1"/>
        <v>7.0359112912304405E-3</v>
      </c>
      <c r="D18">
        <v>0.74143000000000003</v>
      </c>
      <c r="E18">
        <v>2.5000000000000001E-4</v>
      </c>
    </row>
    <row r="19" spans="1:5" x14ac:dyDescent="0.2">
      <c r="A19">
        <v>0.5</v>
      </c>
      <c r="B19">
        <f>1.12*2*4*10</f>
        <v>89.600000000000009</v>
      </c>
      <c r="C19">
        <f t="shared" si="1"/>
        <v>5.5803571428571421E-3</v>
      </c>
      <c r="D19">
        <v>0.59262000000000004</v>
      </c>
      <c r="E19">
        <v>2.5000000000000001E-4</v>
      </c>
    </row>
    <row r="20" spans="1:5" x14ac:dyDescent="0.2">
      <c r="A20">
        <v>0.5</v>
      </c>
      <c r="B20">
        <f>1.12*2*4*10*1.26</f>
        <v>112.89600000000002</v>
      </c>
      <c r="C20">
        <f t="shared" si="1"/>
        <v>4.4288548752834458E-3</v>
      </c>
      <c r="D20">
        <v>0.47653000000000001</v>
      </c>
      <c r="E20">
        <v>2.5000000000000001E-4</v>
      </c>
    </row>
    <row r="21" spans="1:5" x14ac:dyDescent="0.2">
      <c r="A21">
        <v>0.5</v>
      </c>
      <c r="B21">
        <f>1.41*10*10</f>
        <v>141</v>
      </c>
      <c r="C21">
        <f t="shared" si="1"/>
        <v>3.5460992907801418E-3</v>
      </c>
      <c r="D21">
        <v>0.37034</v>
      </c>
      <c r="E21">
        <v>5.0000000000000001E-4</v>
      </c>
    </row>
    <row r="22" spans="1:5" x14ac:dyDescent="0.2">
      <c r="A22">
        <v>0.5</v>
      </c>
      <c r="B22">
        <f>2*10*10</f>
        <v>200</v>
      </c>
      <c r="C22">
        <f t="shared" si="1"/>
        <v>2.5000000000000001E-3</v>
      </c>
      <c r="D22">
        <v>0.26495000000000002</v>
      </c>
      <c r="E22">
        <v>5.0000000000000001E-4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3E2DD-FE08-3043-91D0-4186CE3599E6}">
  <dimension ref="A1:L34"/>
  <sheetViews>
    <sheetView workbookViewId="0">
      <selection activeCell="L23" sqref="L23"/>
    </sheetView>
  </sheetViews>
  <sheetFormatPr baseColWidth="10" defaultRowHeight="16" x14ac:dyDescent="0.2"/>
  <cols>
    <col min="3" max="3" width="13.5" customWidth="1"/>
    <col min="4" max="4" width="11.6640625" customWidth="1"/>
  </cols>
  <sheetData>
    <row r="1" spans="1:12" x14ac:dyDescent="0.2">
      <c r="A1" t="s">
        <v>14</v>
      </c>
      <c r="B1" t="s">
        <v>15</v>
      </c>
      <c r="C1" t="s">
        <v>17</v>
      </c>
      <c r="D1" t="s">
        <v>3</v>
      </c>
      <c r="E1" t="s">
        <v>1</v>
      </c>
      <c r="F1" t="s">
        <v>21</v>
      </c>
      <c r="G1" t="s">
        <v>1</v>
      </c>
      <c r="H1" t="s">
        <v>19</v>
      </c>
      <c r="I1" t="s">
        <v>18</v>
      </c>
      <c r="J1" t="s">
        <v>16</v>
      </c>
      <c r="L1" t="s">
        <v>23</v>
      </c>
    </row>
    <row r="2" spans="1:12" x14ac:dyDescent="0.2">
      <c r="A2">
        <v>16</v>
      </c>
      <c r="B2">
        <v>2.5</v>
      </c>
      <c r="C2">
        <v>0.5</v>
      </c>
      <c r="D2">
        <v>1.8410899999999999</v>
      </c>
      <c r="E2">
        <v>5.0000000000000001E-3</v>
      </c>
      <c r="H2" s="1">
        <v>0.67903935185185194</v>
      </c>
      <c r="I2">
        <v>8000</v>
      </c>
      <c r="J2">
        <v>10</v>
      </c>
      <c r="L2">
        <v>20</v>
      </c>
    </row>
    <row r="3" spans="1:12" x14ac:dyDescent="0.2">
      <c r="A3">
        <v>16</v>
      </c>
      <c r="B3">
        <v>2.5</v>
      </c>
      <c r="C3">
        <v>0.6</v>
      </c>
      <c r="D3">
        <v>2.1842199999999998</v>
      </c>
      <c r="E3">
        <v>2E-3</v>
      </c>
      <c r="H3" s="1">
        <v>0.6810532407407407</v>
      </c>
      <c r="I3">
        <v>8000</v>
      </c>
      <c r="J3">
        <v>10</v>
      </c>
      <c r="K3" t="s">
        <v>20</v>
      </c>
      <c r="L3">
        <v>20</v>
      </c>
    </row>
    <row r="4" spans="1:12" x14ac:dyDescent="0.2">
      <c r="A4">
        <v>16</v>
      </c>
      <c r="B4">
        <v>2.5</v>
      </c>
      <c r="C4">
        <v>0.7</v>
      </c>
      <c r="D4">
        <v>2.54312</v>
      </c>
      <c r="E4">
        <v>1E-3</v>
      </c>
      <c r="H4" s="1">
        <v>0.6818749999999999</v>
      </c>
      <c r="I4">
        <v>8000</v>
      </c>
      <c r="J4">
        <v>10</v>
      </c>
      <c r="L4">
        <v>20</v>
      </c>
    </row>
    <row r="5" spans="1:12" x14ac:dyDescent="0.2">
      <c r="A5">
        <v>16</v>
      </c>
      <c r="B5">
        <v>2.5</v>
      </c>
      <c r="C5">
        <v>0.8</v>
      </c>
      <c r="D5">
        <v>2.9008099999999999</v>
      </c>
      <c r="E5">
        <v>1E-3</v>
      </c>
      <c r="H5" s="1">
        <v>0.68287037037037035</v>
      </c>
      <c r="I5">
        <v>8000</v>
      </c>
      <c r="J5">
        <v>10</v>
      </c>
      <c r="L5">
        <v>20</v>
      </c>
    </row>
    <row r="6" spans="1:12" x14ac:dyDescent="0.2">
      <c r="A6">
        <v>16</v>
      </c>
      <c r="B6">
        <v>2.5</v>
      </c>
      <c r="C6">
        <v>0.9</v>
      </c>
      <c r="D6">
        <v>3.2572899999999998</v>
      </c>
      <c r="E6">
        <v>1E-3</v>
      </c>
      <c r="F6">
        <v>3.2706200000000001</v>
      </c>
      <c r="G6">
        <v>2E-3</v>
      </c>
      <c r="H6" s="1">
        <v>0.68377314814814805</v>
      </c>
      <c r="I6">
        <v>8000</v>
      </c>
      <c r="J6">
        <v>10</v>
      </c>
      <c r="L6">
        <v>20</v>
      </c>
    </row>
    <row r="7" spans="1:12" x14ac:dyDescent="0.2">
      <c r="A7">
        <v>16</v>
      </c>
      <c r="B7">
        <v>2.5</v>
      </c>
      <c r="C7">
        <v>1</v>
      </c>
      <c r="D7">
        <v>3.60527</v>
      </c>
      <c r="E7">
        <v>1E-3</v>
      </c>
      <c r="F7">
        <v>3.6198199999999998</v>
      </c>
      <c r="G7">
        <v>2E-3</v>
      </c>
      <c r="H7" s="1">
        <v>0.68527777777777776</v>
      </c>
      <c r="I7">
        <v>8000</v>
      </c>
      <c r="J7">
        <v>10</v>
      </c>
      <c r="L7">
        <v>20</v>
      </c>
    </row>
    <row r="8" spans="1:12" x14ac:dyDescent="0.2">
      <c r="A8">
        <v>16</v>
      </c>
      <c r="B8">
        <v>2.5</v>
      </c>
      <c r="C8">
        <v>1.2</v>
      </c>
      <c r="D8">
        <v>4.2588100000000004</v>
      </c>
      <c r="E8">
        <v>1E-3</v>
      </c>
      <c r="F8">
        <v>4.2782099999999996</v>
      </c>
      <c r="G8">
        <v>2E-3</v>
      </c>
      <c r="H8" s="1">
        <v>0.68646990740740732</v>
      </c>
      <c r="I8">
        <v>8000</v>
      </c>
      <c r="J8">
        <v>10</v>
      </c>
      <c r="L8">
        <v>20</v>
      </c>
    </row>
    <row r="9" spans="1:12" x14ac:dyDescent="0.2">
      <c r="A9">
        <v>16</v>
      </c>
      <c r="B9">
        <v>2.5</v>
      </c>
      <c r="C9">
        <v>1.4</v>
      </c>
      <c r="D9" t="s">
        <v>22</v>
      </c>
      <c r="E9">
        <v>1E-3</v>
      </c>
      <c r="F9" t="s">
        <v>22</v>
      </c>
      <c r="G9">
        <v>2E-3</v>
      </c>
      <c r="H9" s="1">
        <v>0.6872800925925926</v>
      </c>
      <c r="I9">
        <v>8000</v>
      </c>
      <c r="J9">
        <v>10</v>
      </c>
      <c r="L9">
        <v>20</v>
      </c>
    </row>
    <row r="10" spans="1:12" x14ac:dyDescent="0.2">
      <c r="A10">
        <v>32</v>
      </c>
      <c r="B10">
        <v>2.5</v>
      </c>
      <c r="C10">
        <v>0.5</v>
      </c>
      <c r="D10">
        <v>5.5658899999999996</v>
      </c>
      <c r="E10">
        <v>5.0000000000000001E-3</v>
      </c>
      <c r="F10">
        <v>5.7780699999999996</v>
      </c>
      <c r="G10">
        <v>5.0000000000000001E-3</v>
      </c>
      <c r="H10" s="1">
        <v>0.68837962962962962</v>
      </c>
      <c r="I10">
        <v>8000</v>
      </c>
      <c r="J10">
        <v>10</v>
      </c>
      <c r="L10">
        <v>10</v>
      </c>
    </row>
    <row r="11" spans="1:12" x14ac:dyDescent="0.2">
      <c r="A11">
        <v>32</v>
      </c>
      <c r="B11">
        <v>2.5</v>
      </c>
      <c r="C11">
        <v>0.6</v>
      </c>
      <c r="D11">
        <v>5.7538200000000002</v>
      </c>
      <c r="E11">
        <v>2.5000000000000001E-3</v>
      </c>
      <c r="F11">
        <v>5.9793500000000002</v>
      </c>
      <c r="G11">
        <v>5.0000000000000001E-3</v>
      </c>
      <c r="H11" s="1">
        <v>0.68872685185185178</v>
      </c>
      <c r="I11">
        <v>8000</v>
      </c>
      <c r="J11">
        <v>10</v>
      </c>
      <c r="L11">
        <v>10</v>
      </c>
    </row>
    <row r="12" spans="1:12" x14ac:dyDescent="0.2">
      <c r="A12">
        <v>32</v>
      </c>
      <c r="B12">
        <v>2.5</v>
      </c>
      <c r="C12">
        <v>0.7</v>
      </c>
      <c r="D12">
        <v>5.8884100000000004</v>
      </c>
      <c r="E12">
        <v>2.5000000000000001E-3</v>
      </c>
      <c r="F12">
        <v>6.1430400000000001</v>
      </c>
      <c r="G12">
        <v>5.0000000000000001E-3</v>
      </c>
      <c r="H12" s="1">
        <v>0.69035879629629626</v>
      </c>
      <c r="I12">
        <v>8000</v>
      </c>
      <c r="J12">
        <v>10</v>
      </c>
      <c r="L12">
        <v>10</v>
      </c>
    </row>
    <row r="13" spans="1:12" x14ac:dyDescent="0.2">
      <c r="A13">
        <v>32</v>
      </c>
      <c r="B13">
        <v>2.5</v>
      </c>
      <c r="C13">
        <v>0.8</v>
      </c>
      <c r="D13">
        <v>6.0229999999999997</v>
      </c>
      <c r="E13">
        <v>5.0000000000000001E-3</v>
      </c>
      <c r="F13">
        <v>6.2570100000000002</v>
      </c>
      <c r="G13">
        <v>2.5000000000000001E-3</v>
      </c>
      <c r="H13" s="1">
        <v>0.69116898148148154</v>
      </c>
      <c r="I13">
        <v>8000</v>
      </c>
      <c r="J13">
        <v>10</v>
      </c>
      <c r="L13">
        <v>10</v>
      </c>
    </row>
    <row r="14" spans="1:12" x14ac:dyDescent="0.2">
      <c r="A14">
        <v>32</v>
      </c>
      <c r="B14">
        <v>2.5</v>
      </c>
      <c r="C14">
        <v>0.9</v>
      </c>
      <c r="D14">
        <v>6.1684999999999999</v>
      </c>
      <c r="E14">
        <v>2.5000000000000001E-3</v>
      </c>
      <c r="F14">
        <v>6.3685600000000004</v>
      </c>
      <c r="G14">
        <v>2.5000000000000001E-3</v>
      </c>
      <c r="H14" s="1">
        <v>0.6919791666666667</v>
      </c>
      <c r="I14">
        <v>8000</v>
      </c>
      <c r="J14">
        <v>10</v>
      </c>
      <c r="L14">
        <v>10</v>
      </c>
    </row>
    <row r="15" spans="1:12" x14ac:dyDescent="0.2">
      <c r="A15">
        <v>32</v>
      </c>
      <c r="B15">
        <v>2.5</v>
      </c>
      <c r="C15">
        <v>1</v>
      </c>
      <c r="D15">
        <v>6.2873200000000002</v>
      </c>
      <c r="E15">
        <v>2.5000000000000001E-3</v>
      </c>
      <c r="F15">
        <v>6.4934500000000002</v>
      </c>
      <c r="G15">
        <v>2.5000000000000001E-3</v>
      </c>
      <c r="H15" s="1">
        <v>0.69268518518518529</v>
      </c>
      <c r="I15">
        <v>8000</v>
      </c>
      <c r="J15">
        <v>10</v>
      </c>
      <c r="L15">
        <v>10</v>
      </c>
    </row>
    <row r="16" spans="1:12" x14ac:dyDescent="0.2">
      <c r="A16">
        <v>32</v>
      </c>
      <c r="B16">
        <v>2.5</v>
      </c>
      <c r="C16">
        <v>1.2</v>
      </c>
      <c r="D16">
        <v>6.43161</v>
      </c>
      <c r="E16">
        <v>2.5000000000000001E-3</v>
      </c>
      <c r="F16">
        <v>6.67896</v>
      </c>
      <c r="G16">
        <v>5.0000000000000001E-3</v>
      </c>
      <c r="H16" s="1">
        <v>0.6935069444444445</v>
      </c>
      <c r="I16">
        <v>8000</v>
      </c>
      <c r="J16">
        <v>10</v>
      </c>
      <c r="L16">
        <v>10</v>
      </c>
    </row>
    <row r="17" spans="1:12" x14ac:dyDescent="0.2">
      <c r="A17">
        <v>32</v>
      </c>
      <c r="B17">
        <v>2.5</v>
      </c>
      <c r="C17">
        <v>1.4</v>
      </c>
      <c r="D17">
        <v>6.6062099999999999</v>
      </c>
      <c r="E17">
        <v>5.0000000000000001E-3</v>
      </c>
      <c r="F17">
        <v>6.8087</v>
      </c>
      <c r="G17">
        <v>5.0000000000000001E-3</v>
      </c>
      <c r="H17" s="1">
        <v>0.69434027777777774</v>
      </c>
      <c r="I17">
        <v>8000</v>
      </c>
      <c r="J17">
        <v>10</v>
      </c>
      <c r="L17">
        <v>10</v>
      </c>
    </row>
    <row r="18" spans="1:12" x14ac:dyDescent="0.2">
      <c r="A18">
        <v>4</v>
      </c>
      <c r="B18">
        <v>2.5</v>
      </c>
      <c r="C18">
        <v>1.4</v>
      </c>
      <c r="D18" t="s">
        <v>24</v>
      </c>
      <c r="H18" s="1">
        <v>0.69556712962962963</v>
      </c>
      <c r="I18">
        <v>8000</v>
      </c>
      <c r="J18">
        <v>10</v>
      </c>
    </row>
    <row r="19" spans="1:12" x14ac:dyDescent="0.2">
      <c r="A19">
        <v>4</v>
      </c>
      <c r="B19">
        <v>2.5</v>
      </c>
      <c r="C19">
        <v>1.2</v>
      </c>
      <c r="D19" t="s">
        <v>25</v>
      </c>
      <c r="I19">
        <v>8000</v>
      </c>
      <c r="J19">
        <v>10</v>
      </c>
    </row>
    <row r="20" spans="1:12" x14ac:dyDescent="0.2">
      <c r="A20">
        <v>4</v>
      </c>
      <c r="B20">
        <v>2.5</v>
      </c>
      <c r="C20">
        <v>0.5</v>
      </c>
      <c r="D20">
        <v>4.4673600000000002</v>
      </c>
      <c r="H20" s="1">
        <v>0.69871527777777775</v>
      </c>
      <c r="I20">
        <v>8000</v>
      </c>
      <c r="J20">
        <v>10</v>
      </c>
      <c r="L20">
        <v>0</v>
      </c>
    </row>
    <row r="21" spans="1:12" x14ac:dyDescent="0.2">
      <c r="A21">
        <v>4</v>
      </c>
      <c r="B21">
        <v>2.5</v>
      </c>
      <c r="C21">
        <v>0.6</v>
      </c>
      <c r="D21">
        <v>4.7098599999999999</v>
      </c>
      <c r="H21" s="1">
        <v>0.69996527777777784</v>
      </c>
      <c r="L21">
        <v>0</v>
      </c>
    </row>
    <row r="22" spans="1:12" x14ac:dyDescent="0.2">
      <c r="A22">
        <v>4</v>
      </c>
      <c r="B22">
        <v>2.5</v>
      </c>
      <c r="C22">
        <v>0.7</v>
      </c>
      <c r="D22">
        <v>4.97661</v>
      </c>
      <c r="E22">
        <v>5.0000000000000001E-3</v>
      </c>
      <c r="H22" s="1">
        <v>0.70055555555555549</v>
      </c>
      <c r="L22">
        <v>0</v>
      </c>
    </row>
    <row r="23" spans="1:12" x14ac:dyDescent="0.2">
      <c r="A23">
        <v>4</v>
      </c>
      <c r="B23">
        <v>2.5</v>
      </c>
      <c r="C23">
        <v>0.8</v>
      </c>
      <c r="D23">
        <v>4.98874</v>
      </c>
      <c r="F23">
        <v>5.1584899999999996</v>
      </c>
      <c r="G23">
        <v>5.0000000000000001E-3</v>
      </c>
      <c r="H23" s="1">
        <v>0.70100694444444445</v>
      </c>
      <c r="L23">
        <v>0</v>
      </c>
    </row>
    <row r="24" spans="1:12" x14ac:dyDescent="0.2">
      <c r="A24">
        <v>4</v>
      </c>
      <c r="B24">
        <v>2.5</v>
      </c>
      <c r="C24">
        <v>0.9</v>
      </c>
      <c r="D24">
        <v>4.9426600000000001</v>
      </c>
      <c r="E24">
        <v>0.01</v>
      </c>
      <c r="F24">
        <v>5.1051399999999996</v>
      </c>
      <c r="G24">
        <v>0.01</v>
      </c>
      <c r="H24" s="1">
        <v>0.70159722222222232</v>
      </c>
      <c r="L24">
        <v>0</v>
      </c>
    </row>
    <row r="25" spans="1:12" x14ac:dyDescent="0.2">
      <c r="A25">
        <v>4</v>
      </c>
      <c r="B25">
        <v>2.5</v>
      </c>
      <c r="C25">
        <v>1</v>
      </c>
      <c r="D25">
        <v>4.8965899999999998</v>
      </c>
      <c r="E25">
        <v>0.01</v>
      </c>
      <c r="F25">
        <v>5.0542100000000003</v>
      </c>
      <c r="G25">
        <v>5.0000000000000001E-3</v>
      </c>
      <c r="H25" s="1">
        <v>0.70219907407407411</v>
      </c>
    </row>
    <row r="26" spans="1:12" x14ac:dyDescent="0.2">
      <c r="A26">
        <v>4</v>
      </c>
      <c r="B26">
        <v>2.5</v>
      </c>
    </row>
    <row r="27" spans="1:12" x14ac:dyDescent="0.2">
      <c r="A27">
        <v>4</v>
      </c>
      <c r="B27">
        <v>2.5</v>
      </c>
    </row>
    <row r="28" spans="1:12" x14ac:dyDescent="0.2">
      <c r="A28">
        <v>4</v>
      </c>
      <c r="B28">
        <v>2.5</v>
      </c>
    </row>
    <row r="29" spans="1:12" x14ac:dyDescent="0.2">
      <c r="B29">
        <v>2.5</v>
      </c>
    </row>
    <row r="30" spans="1:12" x14ac:dyDescent="0.2">
      <c r="B30">
        <v>2.5</v>
      </c>
    </row>
    <row r="31" spans="1:12" x14ac:dyDescent="0.2">
      <c r="B31">
        <v>2.5</v>
      </c>
    </row>
    <row r="32" spans="1:12" x14ac:dyDescent="0.2">
      <c r="B32">
        <v>2.5</v>
      </c>
    </row>
    <row r="33" spans="2:2" x14ac:dyDescent="0.2">
      <c r="B33">
        <v>2.5</v>
      </c>
    </row>
    <row r="34" spans="2:2" x14ac:dyDescent="0.2">
      <c r="B34">
        <v>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EE5CE-4194-EB4F-ACC6-8D6860676494}">
  <dimension ref="A1:J28"/>
  <sheetViews>
    <sheetView tabSelected="1" zoomScale="15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12" sqref="E12"/>
    </sheetView>
  </sheetViews>
  <sheetFormatPr baseColWidth="10" defaultRowHeight="16" x14ac:dyDescent="0.2"/>
  <cols>
    <col min="1" max="2" width="18.5" customWidth="1"/>
    <col min="3" max="3" width="20.83203125" customWidth="1"/>
    <col min="4" max="4" width="15.6640625" customWidth="1"/>
    <col min="5" max="5" width="27.1640625" customWidth="1"/>
    <col min="6" max="6" width="15.83203125" customWidth="1"/>
    <col min="7" max="7" width="12.83203125" customWidth="1"/>
    <col min="8" max="8" width="18.83203125" customWidth="1"/>
    <col min="9" max="9" width="23.1640625" customWidth="1"/>
  </cols>
  <sheetData>
    <row r="1" spans="1:10" x14ac:dyDescent="0.2">
      <c r="A1" t="s">
        <v>34</v>
      </c>
      <c r="B1" t="s">
        <v>44</v>
      </c>
      <c r="C1" t="s">
        <v>37</v>
      </c>
      <c r="D1" t="s">
        <v>38</v>
      </c>
      <c r="E1" t="s">
        <v>46</v>
      </c>
      <c r="F1" s="20" t="s">
        <v>47</v>
      </c>
      <c r="G1" s="37" t="s">
        <v>40</v>
      </c>
      <c r="H1" t="s">
        <v>48</v>
      </c>
      <c r="I1" s="20" t="s">
        <v>49</v>
      </c>
    </row>
    <row r="2" spans="1:10" x14ac:dyDescent="0.2">
      <c r="A2" t="s">
        <v>35</v>
      </c>
      <c r="C2">
        <v>25.45</v>
      </c>
      <c r="D2">
        <v>0.03</v>
      </c>
      <c r="E2">
        <v>110</v>
      </c>
      <c r="F2" s="24" t="s">
        <v>54</v>
      </c>
      <c r="G2" s="37"/>
      <c r="H2" s="6"/>
      <c r="I2" s="35"/>
    </row>
    <row r="3" spans="1:10" x14ac:dyDescent="0.2">
      <c r="A3" t="s">
        <v>36</v>
      </c>
      <c r="C3">
        <v>15.25</v>
      </c>
      <c r="D3">
        <v>0.05</v>
      </c>
      <c r="E3">
        <v>70</v>
      </c>
      <c r="F3" s="24" t="s">
        <v>55</v>
      </c>
      <c r="G3" s="37"/>
      <c r="H3" s="6"/>
      <c r="I3" s="35"/>
    </row>
    <row r="4" spans="1:10" x14ac:dyDescent="0.2">
      <c r="A4" t="s">
        <v>39</v>
      </c>
      <c r="F4" s="21"/>
      <c r="G4" s="37"/>
      <c r="H4" s="6"/>
      <c r="I4" s="35"/>
    </row>
    <row r="5" spans="1:10" s="7" customFormat="1" x14ac:dyDescent="0.2">
      <c r="A5" s="7" t="s">
        <v>39</v>
      </c>
      <c r="B5" s="7">
        <v>1.0580000000000001</v>
      </c>
      <c r="C5" s="7">
        <v>0.92500000000000004</v>
      </c>
      <c r="D5" s="7">
        <v>5.0000000000000001E-3</v>
      </c>
      <c r="E5" s="15">
        <v>450</v>
      </c>
      <c r="F5" s="25" t="s">
        <v>56</v>
      </c>
      <c r="G5" s="41" t="s">
        <v>41</v>
      </c>
      <c r="H5" s="15">
        <v>499</v>
      </c>
      <c r="I5" s="25" t="s">
        <v>57</v>
      </c>
      <c r="J5" s="30" t="s">
        <v>45</v>
      </c>
    </row>
    <row r="6" spans="1:10" s="7" customFormat="1" x14ac:dyDescent="0.2">
      <c r="A6" s="7" t="s">
        <v>39</v>
      </c>
      <c r="B6" s="7">
        <v>0.43</v>
      </c>
      <c r="C6" s="7">
        <v>0.85499999999999998</v>
      </c>
      <c r="D6" s="7">
        <v>5.0000000000000001E-3</v>
      </c>
      <c r="E6" s="15">
        <v>450</v>
      </c>
      <c r="F6" s="25" t="s">
        <v>58</v>
      </c>
      <c r="G6" s="42"/>
      <c r="H6" s="15">
        <v>485</v>
      </c>
      <c r="I6" s="25" t="s">
        <v>59</v>
      </c>
      <c r="J6" s="30"/>
    </row>
    <row r="7" spans="1:10" s="7" customFormat="1" x14ac:dyDescent="0.2">
      <c r="A7" s="7" t="s">
        <v>39</v>
      </c>
      <c r="B7" s="7">
        <v>6.58</v>
      </c>
      <c r="C7" s="7">
        <v>6.1589999999999998</v>
      </c>
      <c r="D7" s="7">
        <v>5.0000000000000001E-3</v>
      </c>
      <c r="E7" s="15">
        <v>230</v>
      </c>
      <c r="F7" s="25" t="s">
        <v>60</v>
      </c>
      <c r="G7" s="42"/>
      <c r="H7" s="15">
        <v>224</v>
      </c>
      <c r="I7" s="25" t="s">
        <v>61</v>
      </c>
      <c r="J7" s="30"/>
    </row>
    <row r="8" spans="1:10" s="7" customFormat="1" x14ac:dyDescent="0.2">
      <c r="A8" s="7" t="s">
        <v>39</v>
      </c>
      <c r="B8" s="7">
        <v>5.3650000000000002</v>
      </c>
      <c r="C8" s="7">
        <v>5.2530000000000001</v>
      </c>
      <c r="D8" s="7">
        <v>5.0000000000000001E-3</v>
      </c>
      <c r="E8" s="15">
        <v>230</v>
      </c>
      <c r="F8" s="25" t="s">
        <v>62</v>
      </c>
      <c r="G8" s="42"/>
      <c r="H8" s="15">
        <v>204</v>
      </c>
      <c r="I8" s="25" t="s">
        <v>63</v>
      </c>
      <c r="J8" s="30" t="s">
        <v>43</v>
      </c>
    </row>
    <row r="9" spans="1:10" s="7" customFormat="1" x14ac:dyDescent="0.2">
      <c r="A9" s="7" t="s">
        <v>39</v>
      </c>
      <c r="C9" s="7">
        <v>0.625</v>
      </c>
      <c r="D9" s="7">
        <v>5.0000000000000001E-3</v>
      </c>
      <c r="E9" s="15"/>
      <c r="F9" s="25" t="s">
        <v>64</v>
      </c>
      <c r="G9" s="42"/>
      <c r="H9" s="15"/>
      <c r="I9" s="22"/>
      <c r="J9" s="30" t="s">
        <v>42</v>
      </c>
    </row>
    <row r="10" spans="1:10" s="7" customFormat="1" x14ac:dyDescent="0.2">
      <c r="A10" s="7" t="s">
        <v>39</v>
      </c>
      <c r="B10" s="7">
        <v>0.52</v>
      </c>
      <c r="C10" s="7">
        <v>0.93</v>
      </c>
      <c r="D10" s="7">
        <v>5.0000000000000001E-3</v>
      </c>
      <c r="E10" s="15">
        <v>400</v>
      </c>
      <c r="F10" s="25" t="s">
        <v>65</v>
      </c>
      <c r="G10" s="42"/>
      <c r="H10" s="15">
        <v>460</v>
      </c>
      <c r="I10" s="25" t="s">
        <v>66</v>
      </c>
      <c r="J10" s="30"/>
    </row>
    <row r="11" spans="1:10" s="7" customFormat="1" x14ac:dyDescent="0.2">
      <c r="A11" s="7" t="s">
        <v>39</v>
      </c>
      <c r="B11" s="7">
        <v>0.56999999999999995</v>
      </c>
      <c r="C11" s="7">
        <v>1.4650000000000001</v>
      </c>
      <c r="D11" s="7">
        <v>5.0000000000000001E-3</v>
      </c>
      <c r="E11" s="15">
        <v>400</v>
      </c>
      <c r="F11" s="25" t="s">
        <v>67</v>
      </c>
      <c r="G11" s="43"/>
      <c r="H11" s="15">
        <v>458</v>
      </c>
      <c r="I11" s="25" t="s">
        <v>68</v>
      </c>
      <c r="J11" s="30"/>
    </row>
    <row r="12" spans="1:10" x14ac:dyDescent="0.2">
      <c r="F12" s="21"/>
      <c r="I12" s="21"/>
    </row>
    <row r="13" spans="1:10" s="8" customFormat="1" x14ac:dyDescent="0.2">
      <c r="A13" s="8" t="s">
        <v>36</v>
      </c>
      <c r="B13" s="8">
        <v>15.25</v>
      </c>
      <c r="C13" s="8">
        <v>15.26</v>
      </c>
      <c r="D13" s="8">
        <v>5.0000000000000001E-3</v>
      </c>
      <c r="E13" s="16">
        <v>170</v>
      </c>
      <c r="F13" s="26" t="s">
        <v>69</v>
      </c>
      <c r="G13" s="44" t="s">
        <v>41</v>
      </c>
      <c r="H13" s="16">
        <v>213</v>
      </c>
      <c r="I13" s="26" t="s">
        <v>70</v>
      </c>
      <c r="J13" s="31"/>
    </row>
    <row r="14" spans="1:10" s="8" customFormat="1" x14ac:dyDescent="0.2">
      <c r="A14" s="8" t="s">
        <v>36</v>
      </c>
      <c r="B14" s="8">
        <v>6.33</v>
      </c>
      <c r="C14" s="8">
        <v>6.3959999999999999</v>
      </c>
      <c r="D14" s="8">
        <v>5.0000000000000001E-3</v>
      </c>
      <c r="E14" s="16">
        <v>289</v>
      </c>
      <c r="F14" s="26" t="s">
        <v>71</v>
      </c>
      <c r="G14" s="45"/>
      <c r="H14" s="16">
        <v>377</v>
      </c>
      <c r="I14" s="26" t="s">
        <v>72</v>
      </c>
      <c r="J14" s="31"/>
    </row>
    <row r="15" spans="1:10" s="8" customFormat="1" x14ac:dyDescent="0.2">
      <c r="A15" s="8" t="s">
        <v>36</v>
      </c>
      <c r="B15" s="8">
        <v>2.14</v>
      </c>
      <c r="C15" s="8">
        <v>2.17</v>
      </c>
      <c r="D15" s="8">
        <v>5.0000000000000001E-3</v>
      </c>
      <c r="E15" s="16">
        <v>361</v>
      </c>
      <c r="F15" s="26" t="s">
        <v>73</v>
      </c>
      <c r="G15" s="45"/>
      <c r="H15" s="16">
        <v>492</v>
      </c>
      <c r="I15" s="26" t="s">
        <v>74</v>
      </c>
      <c r="J15" s="31"/>
    </row>
    <row r="16" spans="1:10" s="9" customFormat="1" x14ac:dyDescent="0.2">
      <c r="A16" s="9" t="s">
        <v>36</v>
      </c>
      <c r="B16" s="9" t="s">
        <v>51</v>
      </c>
      <c r="C16" s="9">
        <v>0.78</v>
      </c>
      <c r="D16" s="9">
        <v>5.0000000000000001E-3</v>
      </c>
      <c r="E16" s="17">
        <v>443</v>
      </c>
      <c r="F16" s="27" t="s">
        <v>75</v>
      </c>
      <c r="G16" s="45"/>
      <c r="H16" s="17">
        <v>536</v>
      </c>
      <c r="I16" s="27" t="s">
        <v>76</v>
      </c>
      <c r="J16" s="32"/>
    </row>
    <row r="17" spans="1:10" s="8" customFormat="1" x14ac:dyDescent="0.2">
      <c r="A17" s="8" t="s">
        <v>36</v>
      </c>
      <c r="B17" s="8" t="s">
        <v>50</v>
      </c>
      <c r="C17" s="8">
        <v>0.78</v>
      </c>
      <c r="D17" s="8">
        <v>5.0000000000000001E-3</v>
      </c>
      <c r="E17" s="16">
        <v>403</v>
      </c>
      <c r="F17" s="26" t="s">
        <v>77</v>
      </c>
      <c r="G17" s="46"/>
      <c r="H17" s="16">
        <v>505</v>
      </c>
      <c r="I17" s="26" t="s">
        <v>78</v>
      </c>
      <c r="J17" s="31"/>
    </row>
    <row r="18" spans="1:10" s="10" customFormat="1" x14ac:dyDescent="0.2">
      <c r="F18" s="23"/>
      <c r="I18" s="23"/>
    </row>
    <row r="19" spans="1:10" s="12" customFormat="1" x14ac:dyDescent="0.2">
      <c r="A19" s="12" t="s">
        <v>35</v>
      </c>
      <c r="B19" s="12">
        <v>25.43</v>
      </c>
      <c r="C19" s="12">
        <v>25.465</v>
      </c>
      <c r="D19" s="12">
        <v>5.0000000000000001E-3</v>
      </c>
      <c r="E19" s="18">
        <v>274</v>
      </c>
      <c r="F19" s="28" t="s">
        <v>79</v>
      </c>
      <c r="G19" s="38" t="s">
        <v>41</v>
      </c>
      <c r="H19" s="18">
        <v>344</v>
      </c>
      <c r="I19" s="28" t="s">
        <v>80</v>
      </c>
      <c r="J19" s="33"/>
    </row>
    <row r="20" spans="1:10" s="12" customFormat="1" x14ac:dyDescent="0.2">
      <c r="A20" s="12" t="s">
        <v>35</v>
      </c>
      <c r="B20" s="12">
        <v>15.01</v>
      </c>
      <c r="C20" s="12">
        <v>14.994999999999999</v>
      </c>
      <c r="D20" s="12">
        <v>5.0000000000000001E-3</v>
      </c>
      <c r="E20" s="18">
        <v>341</v>
      </c>
      <c r="F20" s="28" t="s">
        <v>81</v>
      </c>
      <c r="G20" s="39"/>
      <c r="H20" s="18">
        <v>404</v>
      </c>
      <c r="I20" s="28" t="s">
        <v>82</v>
      </c>
      <c r="J20" s="33"/>
    </row>
    <row r="21" spans="1:10" s="12" customFormat="1" x14ac:dyDescent="0.2">
      <c r="A21" s="12" t="s">
        <v>35</v>
      </c>
      <c r="B21" s="12">
        <v>9.7149999999999999</v>
      </c>
      <c r="C21" s="12">
        <v>9.8149999999999995</v>
      </c>
      <c r="D21" s="12">
        <v>5.0000000000000001E-3</v>
      </c>
      <c r="E21" s="18">
        <v>362</v>
      </c>
      <c r="F21" s="28" t="s">
        <v>83</v>
      </c>
      <c r="G21" s="39"/>
      <c r="H21" s="18">
        <v>454</v>
      </c>
      <c r="I21" s="28" t="s">
        <v>84</v>
      </c>
      <c r="J21" s="33"/>
    </row>
    <row r="22" spans="1:10" s="12" customFormat="1" x14ac:dyDescent="0.2">
      <c r="A22" s="12" t="s">
        <v>35</v>
      </c>
      <c r="B22" s="12">
        <v>6.42</v>
      </c>
      <c r="C22" s="12">
        <v>6.4809999999999999</v>
      </c>
      <c r="D22" s="12">
        <v>5.0000000000000001E-3</v>
      </c>
      <c r="E22" s="18">
        <v>381</v>
      </c>
      <c r="F22" s="28" t="s">
        <v>85</v>
      </c>
      <c r="G22" s="39"/>
      <c r="H22" s="18">
        <v>525</v>
      </c>
      <c r="I22" s="28" t="s">
        <v>86</v>
      </c>
      <c r="J22" s="33"/>
    </row>
    <row r="23" spans="1:10" s="13" customFormat="1" x14ac:dyDescent="0.2">
      <c r="A23" s="13" t="s">
        <v>35</v>
      </c>
      <c r="B23" s="13">
        <v>1.05</v>
      </c>
      <c r="C23" s="13">
        <v>1.0489999999999999</v>
      </c>
      <c r="D23" s="13">
        <v>5.0000000000000001E-3</v>
      </c>
      <c r="E23" s="19">
        <v>420</v>
      </c>
      <c r="F23" s="29" t="s">
        <v>87</v>
      </c>
      <c r="G23" s="39"/>
      <c r="H23" s="19">
        <v>558</v>
      </c>
      <c r="I23" s="29" t="s">
        <v>88</v>
      </c>
      <c r="J23" s="34"/>
    </row>
    <row r="24" spans="1:10" s="12" customFormat="1" ht="17" thickBot="1" x14ac:dyDescent="0.25">
      <c r="A24" s="12" t="s">
        <v>35</v>
      </c>
      <c r="B24" s="12">
        <v>0.8</v>
      </c>
      <c r="C24" s="12">
        <v>0.82799999999999996</v>
      </c>
      <c r="D24" s="12">
        <v>5.0000000000000001E-3</v>
      </c>
      <c r="E24" s="18">
        <v>421</v>
      </c>
      <c r="F24" s="36" t="s">
        <v>89</v>
      </c>
      <c r="G24" s="40"/>
      <c r="H24" s="18">
        <v>573</v>
      </c>
      <c r="I24" s="36" t="s">
        <v>90</v>
      </c>
      <c r="J24" s="33"/>
    </row>
    <row r="25" spans="1:10" s="11" customFormat="1" x14ac:dyDescent="0.2"/>
    <row r="26" spans="1:10" s="11" customFormat="1" x14ac:dyDescent="0.2">
      <c r="A26" s="11" t="s">
        <v>52</v>
      </c>
    </row>
    <row r="27" spans="1:10" s="11" customFormat="1" x14ac:dyDescent="0.2">
      <c r="F27" s="11" t="s">
        <v>53</v>
      </c>
      <c r="I27" s="14" t="s">
        <v>91</v>
      </c>
    </row>
    <row r="28" spans="1:10" s="11" customFormat="1" x14ac:dyDescent="0.2"/>
  </sheetData>
  <mergeCells count="4">
    <mergeCell ref="G19:G24"/>
    <mergeCell ref="G1:G4"/>
    <mergeCell ref="G5:G11"/>
    <mergeCell ref="G13:G1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4</vt:lpstr>
      <vt:lpstr>Absorption_Cs_Na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Yilun Ma</dc:creator>
  <cp:lastModifiedBy>Microsoft Office User</cp:lastModifiedBy>
  <dcterms:created xsi:type="dcterms:W3CDTF">2022-01-26T22:48:57Z</dcterms:created>
  <dcterms:modified xsi:type="dcterms:W3CDTF">2022-02-17T02:46:17Z</dcterms:modified>
</cp:coreProperties>
</file>